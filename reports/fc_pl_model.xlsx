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Vector III P&amp;L" sheetId="3" state="visible" r:id="rId5"/>
    <sheet name="Vector IV P&amp;L" sheetId="4" state="visible" r:id="rId6"/>
    <sheet name="Consolidated" sheetId="5" state="visible" r:id="rId7"/>
    <sheet name="GP Ent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<sst xmlns="http://schemas.openxmlformats.org/spreadsheetml/2006/main" count="280" uniqueCount="185">
  <si>
    <t xml:space="preserve">■ ■ ■
■ ■ ■
■ ■ ■</t>
  </si>
  <si>
    <t xml:space="preserve">FOUNDERS CAPITAL PLATFORM</t>
  </si>
  <si>
    <t xml:space="preserve">Series &amp; Consolidated P&amp;L Model</t>
  </si>
  <si>
    <t xml:space="preserve">As of: 25 April 2026</t>
  </si>
  <si>
    <t xml:space="preserve">CONFIDENTIAL — FOR INTERNAL USE ONLY</t>
  </si>
  <si>
    <t xml:space="preserve">WORKBOOK CONTENTS</t>
  </si>
  <si>
    <t xml:space="preserve">Cover</t>
  </si>
  <si>
    <t xml:space="preserve">This page — overview and navigation</t>
  </si>
  <si>
    <t xml:space="preserve">Assumptions</t>
  </si>
  <si>
    <t xml:space="preserve">Carry rate, fee structure, discount rates, macro inputs</t>
  </si>
  <si>
    <t xml:space="preserve">Vector III P&amp;L</t>
  </si>
  <si>
    <t xml:space="preserve">Reach Power, Inc. — individual series P&amp;L</t>
  </si>
  <si>
    <t xml:space="preserve">Vector IV P&amp;L</t>
  </si>
  <si>
    <t xml:space="preserve">Project Prometheus — individual series P&amp;L</t>
  </si>
  <si>
    <t xml:space="preserve">Consolidated</t>
  </si>
  <si>
    <t xml:space="preserve">All series aggregated — total fund view</t>
  </si>
  <si>
    <t xml:space="preserve">GP Entity</t>
  </si>
  <si>
    <t xml:space="preserve">Founders Capital Platform LLC — GP economics</t>
  </si>
  <si>
    <t xml:space="preserve">FUND SNAPSHOT</t>
  </si>
  <si>
    <t xml:space="preserve">Active Series</t>
  </si>
  <si>
    <t xml:space="preserve">2</t>
  </si>
  <si>
    <t xml:space="preserve">Total Committed Capital</t>
  </si>
  <si>
    <t xml:space="preserve">$2,500,650</t>
  </si>
  <si>
    <t xml:space="preserve">Total Called Capital</t>
  </si>
  <si>
    <t xml:space="preserve">$808,300</t>
  </si>
  <si>
    <t xml:space="preserve">Total Uncalled Capital</t>
  </si>
  <si>
    <t xml:space="preserve">$1,692,350</t>
  </si>
  <si>
    <t xml:space="preserve">Total Cost Basis</t>
  </si>
  <si>
    <t xml:space="preserve">$2,446,400</t>
  </si>
  <si>
    <t xml:space="preserve">Total Portfolio Companies</t>
  </si>
  <si>
    <t xml:space="preserve">GP Carry Rate</t>
  </si>
  <si>
    <t xml:space="preserve">20%</t>
  </si>
  <si>
    <t xml:space="preserve">Deal Fee Rate</t>
  </si>
  <si>
    <t xml:space="preserve">6%</t>
  </si>
  <si>
    <t xml:space="preserve">Source: Founders Capital Platform Supabase DB · Retrieved 25 April 2026 · https://yoyrwrdzivygufbzckdv.supabase.co</t>
  </si>
  <si>
    <t xml:space="preserve">ASSUMPTIONS &amp; MODEL PARAMETERS</t>
  </si>
  <si>
    <t xml:space="preserve">CARRY &amp; FEE STRUCTURE</t>
  </si>
  <si>
    <t xml:space="preserve">Standard 20% carry across all series</t>
  </si>
  <si>
    <t xml:space="preserve">Deal Fee Rate (% of committed)</t>
  </si>
  <si>
    <t xml:space="preserve">6% deal fee charged to LPs at commitment</t>
  </si>
  <si>
    <t xml:space="preserve">Management Fee Rate</t>
  </si>
  <si>
    <t xml:space="preserve">Currently 0% — may activate in future</t>
  </si>
  <si>
    <t xml:space="preserve">Carry Hurdle Rate</t>
  </si>
  <si>
    <t xml:space="preserve">No hurdle currently in place</t>
  </si>
  <si>
    <t xml:space="preserve">GP Co-invest</t>
  </si>
  <si>
    <t xml:space="preserve">GP co-invest — set to 0 unless applicable</t>
  </si>
  <si>
    <t xml:space="preserve">VALUATION PARAMETERS</t>
  </si>
  <si>
    <t xml:space="preserve">Discount Rate (IRR target)</t>
  </si>
  <si>
    <t xml:space="preserve">15% hurdle used for IRR sensitivity</t>
  </si>
  <si>
    <t xml:space="preserve">Risk-Free Rate</t>
  </si>
  <si>
    <t xml:space="preserve">US 10Y Treasury yield — update quarterly</t>
  </si>
  <si>
    <t xml:space="preserve">Market Risk Premium</t>
  </si>
  <si>
    <t xml:space="preserve">Damodaran ERP estimate</t>
  </si>
  <si>
    <t xml:space="preserve">Liquidity Discount</t>
  </si>
  <si>
    <t xml:space="preserve">25% illiquidity discount applied to FMV</t>
  </si>
  <si>
    <t xml:space="preserve">FX Rate (GBP/USD) — indicative</t>
  </si>
  <si>
    <t xml:space="preserve">For LP reporting in GBP where required</t>
  </si>
  <si>
    <t xml:space="preserve">CELL REFERENCES USED IN SERIES SHEETS</t>
  </si>
  <si>
    <t xml:space="preserve">Carry Rate cell</t>
  </si>
  <si>
    <t xml:space="preserve">Assumptions!C6</t>
  </si>
  <si>
    <t xml:space="preserve">Referenced as =Assumptions!C6 in waterfall rows</t>
  </si>
  <si>
    <t xml:space="preserve">Assumptions!C7</t>
  </si>
  <si>
    <t xml:space="preserve">Referenced in LP commitment fee calculations</t>
  </si>
  <si>
    <t xml:space="preserve">Discount Rate</t>
  </si>
  <si>
    <t xml:space="preserve">Assumptions!C15</t>
  </si>
  <si>
    <t xml:space="preserve">Used in IRR sensitivity section</t>
  </si>
  <si>
    <t xml:space="preserve">Assumptions!C18</t>
  </si>
  <si>
    <t xml:space="preserve">Applied to FMV → adjusted NAV</t>
  </si>
  <si>
    <t xml:space="preserve">FC Platform LP Vector III Series  ·  Reach Power, Inc.</t>
  </si>
  <si>
    <t xml:space="preserve">HSBC Account: 511034431   ·   Stage: Series A   ·   As of: 25 April 2026</t>
  </si>
  <si>
    <t xml:space="preserve">Line Item</t>
  </si>
  <si>
    <t xml:space="preserve">LP Total ($)</t>
  </si>
  <si>
    <t xml:space="preserve">Per LP Avg ($)</t>
  </si>
  <si>
    <t xml:space="preserve">% of Committed</t>
  </si>
  <si>
    <t xml:space="preserve">Notes</t>
  </si>
  <si>
    <t xml:space="preserve">A.  LP CAPITAL ACCOUNT</t>
  </si>
  <si>
    <t xml:space="preserve">Total LP Commitments</t>
  </si>
  <si>
    <t xml:space="preserve">Total committed per LP register</t>
  </si>
  <si>
    <t xml:space="preserve">Capital Called (to date)</t>
  </si>
  <si>
    <t xml:space="preserve">Sum of all capital call notices issued</t>
  </si>
  <si>
    <t xml:space="preserve">Uncalled Commitments</t>
  </si>
  <si>
    <t xml:space="preserve">Committed - Called</t>
  </si>
  <si>
    <t xml:space="preserve">Deal Fees Collected</t>
  </si>
  <si>
    <t xml:space="preserve">6% × committed; already collected from LPs</t>
  </si>
  <si>
    <t xml:space="preserve">Number of LPs</t>
  </si>
  <si>
    <t xml:space="preserve">LP count per register</t>
  </si>
  <si>
    <t xml:space="preserve">B.  PORTFOLIO INVESTMENT</t>
  </si>
  <si>
    <t xml:space="preserve">Company</t>
  </si>
  <si>
    <t xml:space="preserve">Reach Power, Inc.</t>
  </si>
  <si>
    <t xml:space="preserve">Portfolio company name</t>
  </si>
  <si>
    <t xml:space="preserve">Investment Stage</t>
  </si>
  <si>
    <t xml:space="preserve">Series A</t>
  </si>
  <si>
    <t xml:space="preserve">Round / stage at time of investment</t>
  </si>
  <si>
    <t xml:space="preserve">Post-Money Valuation</t>
  </si>
  <si>
    <t xml:space="preserve">As per term sheet / cap table</t>
  </si>
  <si>
    <t xml:space="preserve">Cost Basis (LP $$)</t>
  </si>
  <si>
    <t xml:space="preserve">Total LP capital deployed into position</t>
  </si>
  <si>
    <t xml:space="preserve">Current Fair Value</t>
  </si>
  <si>
    <t xml:space="preserve">Latest NAV mark — nil if not yet marked</t>
  </si>
  <si>
    <t xml:space="preserve">Unrealised Gain / (Loss)</t>
  </si>
  <si>
    <t xml:space="preserve">Fair Value - Cost Basis</t>
  </si>
  <si>
    <t xml:space="preserve">MOIC</t>
  </si>
  <si>
    <t xml:space="preserve">Current multiple on invested capital</t>
  </si>
  <si>
    <t xml:space="preserve">C.  P&amp;L WATERFALL  (Carry: 20%  |  Hurdle: None)</t>
  </si>
  <si>
    <t xml:space="preserve">Gross Portfolio Value (Fair Value)</t>
  </si>
  <si>
    <t xml:space="preserve">Linked from Section B</t>
  </si>
  <si>
    <t xml:space="preserve">Return of LP Cost Basis</t>
  </si>
  <si>
    <t xml:space="preserve">Gain Above Cost (Pre-Carry)</t>
  </si>
  <si>
    <t xml:space="preserve">GP Carry (20% × Gain Above Cost)</t>
  </si>
  <si>
    <t xml:space="preserve">Carry rate from Assumptions!C6</t>
  </si>
  <si>
    <t xml:space="preserve">LP Net Proceeds (after Carry)</t>
  </si>
  <si>
    <t xml:space="preserve">NET RETURN TO LPs</t>
  </si>
  <si>
    <t xml:space="preserve">D.  DIRECT SERIES EXPENSES</t>
  </si>
  <si>
    <t xml:space="preserve">Legal &amp; Formation</t>
  </si>
  <si>
    <t xml:space="preserve">Enter when incurred via HSBC account</t>
  </si>
  <si>
    <t xml:space="preserve">Fund Administration</t>
  </si>
  <si>
    <t xml:space="preserve">Audit &amp; Accounting</t>
  </si>
  <si>
    <t xml:space="preserve">Banking Charges</t>
  </si>
  <si>
    <t xml:space="preserve">Other Direct Costs</t>
  </si>
  <si>
    <t xml:space="preserve">TOTAL EXPENSES</t>
  </si>
  <si>
    <t xml:space="preserve">Hold (yrs) ↓</t>
  </si>
  <si>
    <t xml:space="preserve">Exit MOIC →</t>
  </si>
  <si>
    <t xml:space="preserve">2 years</t>
  </si>
  <si>
    <t xml:space="preserve">3 years</t>
  </si>
  <si>
    <t xml:space="preserve">4 years</t>
  </si>
  <si>
    <t xml:space="preserve">5 years</t>
  </si>
  <si>
    <t xml:space="preserve">7 years</t>
  </si>
  <si>
    <t xml:space="preserve">Source: Founders Capital Supabase DB · 25 April 2026 · https://yoyrwrdzivygufbzckdv.supabase.co</t>
  </si>
  <si>
    <t xml:space="preserve">FC Platform LP Vector IV Series  ·  Project Prometheus</t>
  </si>
  <si>
    <t xml:space="preserve">HSBC Account: 511034580   ·   Stage: Pre-IPO   ·   As of: 25 April 2026</t>
  </si>
  <si>
    <t xml:space="preserve">Project Prometheus</t>
  </si>
  <si>
    <t xml:space="preserve">Pre-IPO</t>
  </si>
  <si>
    <t xml:space="preserve">Not yet marked</t>
  </si>
  <si>
    <t xml:space="preserve">FOUNDERS CAPITAL PLATFORM  ·  CONSOLIDATED P&amp;L</t>
  </si>
  <si>
    <t xml:space="preserve">All Series Aggregated  ·  As of 25 April 2026</t>
  </si>
  <si>
    <t xml:space="preserve">Vector III
Reach Power ($)</t>
  </si>
  <si>
    <t xml:space="preserve">Vector IV
Prometheus ($)</t>
  </si>
  <si>
    <t xml:space="preserve">TOTAL ($)</t>
  </si>
  <si>
    <t xml:space="preserve">B.  PORTFOLIO INVESTMENTS</t>
  </si>
  <si>
    <t xml:space="preserve">Total Fair Value</t>
  </si>
  <si>
    <t xml:space="preserve">Not marked</t>
  </si>
  <si>
    <t xml:space="preserve">Portfolio Companies</t>
  </si>
  <si>
    <t xml:space="preserve">C.  CONSOLIDATED P&amp;L WATERFALL</t>
  </si>
  <si>
    <t xml:space="preserve">Gross Portfolio Value</t>
  </si>
  <si>
    <t xml:space="preserve">Total LP Cost Basis Returned</t>
  </si>
  <si>
    <t xml:space="preserve">Gain Above Cost</t>
  </si>
  <si>
    <t xml:space="preserve">GP Carry @ 20%</t>
  </si>
  <si>
    <t xml:space="preserve">Net LP Proceeds</t>
  </si>
  <si>
    <t xml:space="preserve">D.  MULTI-VECTOR LP EXPOSURE  (12 LPs in Both III + IV)</t>
  </si>
  <si>
    <t xml:space="preserve">LP Name</t>
  </si>
  <si>
    <t xml:space="preserve">Committed (III) ($)</t>
  </si>
  <si>
    <t xml:space="preserve">Committed (IV) ($)</t>
  </si>
  <si>
    <t xml:space="preserve">Total Exposure ($)</t>
  </si>
  <si>
    <t xml:space="preserve">Paul Tanner</t>
  </si>
  <si>
    <t xml:space="preserve">See IV register</t>
  </si>
  <si>
    <t xml:space="preserve">Bram Vanderelst</t>
  </si>
  <si>
    <t xml:space="preserve">Krzysztof Bednarek</t>
  </si>
  <si>
    <t xml:space="preserve">Esteban Sadurni</t>
  </si>
  <si>
    <t xml:space="preserve">Ben Silvertown</t>
  </si>
  <si>
    <t xml:space="preserve">Nigel Ashfield</t>
  </si>
  <si>
    <t xml:space="preserve">Clifford Alper</t>
  </si>
  <si>
    <t xml:space="preserve">Michael O'Brien</t>
  </si>
  <si>
    <t xml:space="preserve">Pedro Azevedo</t>
  </si>
  <si>
    <t xml:space="preserve">Stratis Mouyer</t>
  </si>
  <si>
    <t xml:space="preserve">Konrad Staniecki</t>
  </si>
  <si>
    <t xml:space="preserve">Joseph Yearsley</t>
  </si>
  <si>
    <t xml:space="preserve">TOTAL MULTI-VECTOR EXPOSURE</t>
  </si>
  <si>
    <t xml:space="preserve">FOUNDERS CAPITAL PLATFORM LLC  ·  GP ECONOMICS</t>
  </si>
  <si>
    <t xml:space="preserve">GP Entity P&amp;L  ·  As of 25 April 2026</t>
  </si>
  <si>
    <t xml:space="preserve">Vector III ($)</t>
  </si>
  <si>
    <t xml:space="preserve">Vector IV ($)</t>
  </si>
  <si>
    <t xml:space="preserve">GP REVENUE — CARRY INTEREST</t>
  </si>
  <si>
    <t xml:space="preserve">Total LP Gain Above Cost</t>
  </si>
  <si>
    <t xml:space="preserve">Management Fees</t>
  </si>
  <si>
    <t xml:space="preserve">TOTAL GP INCOME</t>
  </si>
  <si>
    <t xml:space="preserve">GP EXPENSES (PLATFORM / OVERHEAD)</t>
  </si>
  <si>
    <t xml:space="preserve">Platform / SaaS Costs</t>
  </si>
  <si>
    <t xml:space="preserve">Legal (GP Level)</t>
  </si>
  <si>
    <t xml:space="preserve">Accounting &amp; Tax</t>
  </si>
  <si>
    <t xml:space="preserve">Insurance (D&amp;O / E&amp;O)</t>
  </si>
  <si>
    <t xml:space="preserve">Travel &amp; Client Entertainment</t>
  </si>
  <si>
    <t xml:space="preserve">Other GP Overheads</t>
  </si>
  <si>
    <t xml:space="preserve">TOTAL GP EXPENSES</t>
  </si>
  <si>
    <t xml:space="preserve">NET GP P&amp;L</t>
  </si>
  <si>
    <t xml:space="preserve">NET GP PROFIT / (LOSS)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</si>
</sst>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.0000"/>
    <numFmt numFmtId="167" formatCode="\$#,##0;&quot;($&quot;#,##0\);\-"/>
    <numFmt numFmtId="168" formatCode="#,##0"/>
    <numFmt numFmtId="169" formatCode="0.00\x"/>
    <numFmt numFmtId="170" formatCode="\$#,##0;&quot;($&quot;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5BDB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4"/>
      <color rgb="FFF5F3EF"/>
      <name val="Calibri"/>
      <family val="0"/>
      <charset val="1"/>
    </font>
    <font>
      <sz val="11"/>
      <color rgb="FFD9D7D2"/>
      <name val="Calibri"/>
      <family val="0"/>
      <charset val="1"/>
    </font>
    <font>
      <b val="true"/>
      <sz val="9"/>
      <color rgb="FFC9A84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F4AB8"/>
      <name val="Calibri"/>
      <family val="0"/>
      <charset val="1"/>
    </font>
    <font>
      <sz val="10"/>
      <color rgb="FF1A1209"/>
      <name val="Calibri"/>
      <family val="0"/>
      <charset val="1"/>
    </font>
    <font>
      <i val="true"/>
      <sz val="8"/>
      <color rgb="FFD9D7D2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D9D7D2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9"/>
      <color rgb="FFF5F3E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2E7D32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1A1209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i val="true"/>
      <sz val="10"/>
      <color rgb="FFD9D7D2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209"/>
        <bgColor rgb="FF000000"/>
      </patternFill>
    </fill>
    <fill>
      <patternFill patternType="solid">
        <fgColor rgb="FFF5F3EF"/>
        <bgColor rgb="FFF0EEE9"/>
      </patternFill>
    </fill>
    <fill>
      <patternFill patternType="solid">
        <fgColor rgb="FF2F4AB8"/>
        <bgColor rgb="FF3B5BDB"/>
      </patternFill>
    </fill>
    <fill>
      <patternFill patternType="solid">
        <fgColor rgb="FFF0EEE9"/>
        <bgColor rgb="FFF5F3EF"/>
      </patternFill>
    </fill>
    <fill>
      <patternFill patternType="solid">
        <fgColor rgb="FF3B5BDB"/>
        <bgColor rgb="FF2F4AB8"/>
      </patternFill>
    </fill>
    <fill>
      <patternFill patternType="solid">
        <fgColor rgb="FFC9A84C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2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3EF"/>
      <rgbColor rgb="FFF0EEE9"/>
      <rgbColor rgb="FF660066"/>
      <rgbColor rgb="FFFF8080"/>
      <rgbColor rgb="FF0066CC"/>
      <rgbColor rgb="FFD9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5BDB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2E7D32"/>
      <rgbColor rgb="FF003300"/>
      <rgbColor rgb="FF1A1209"/>
      <rgbColor rgb="FF993300"/>
      <rgbColor rgb="FF993366"/>
      <rgbColor rgb="FF2F4AB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15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49.5" hidden="false" customHeight="true" outlineLevel="0" collapsed="false">
      <c r="A2" s="2"/>
      <c r="B2" s="3" t="s">
        <v>0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8" hidden="false" customHeight="true" outlineLevel="0" collapsed="false">
      <c r="A6" s="2"/>
      <c r="B6" s="4" t="s">
        <v>1</v>
      </c>
      <c r="C6" s="4"/>
      <c r="D6" s="4"/>
      <c r="E6" s="4"/>
      <c r="F6" s="4"/>
      <c r="G6" s="2"/>
      <c r="H6" s="2"/>
      <c r="I6" s="2"/>
    </row>
    <row r="7" customFormat="false" ht="18" hidden="false" customHeight="true" outlineLevel="0" collapsed="false">
      <c r="A7" s="2"/>
      <c r="B7" s="5" t="s">
        <v>2</v>
      </c>
      <c r="C7" s="5"/>
      <c r="D7" s="5"/>
      <c r="E7" s="5"/>
      <c r="F7" s="5"/>
      <c r="G7" s="2"/>
      <c r="H7" s="2"/>
      <c r="I7" s="2"/>
    </row>
    <row r="8" customFormat="false" ht="18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18" hidden="false" customHeight="true" outlineLevel="0" collapsed="false">
      <c r="A9" s="2"/>
      <c r="B9" s="6" t="s">
        <v>3</v>
      </c>
      <c r="C9" s="6"/>
      <c r="D9" s="6"/>
      <c r="E9" s="6"/>
      <c r="F9" s="6"/>
      <c r="G9" s="2"/>
      <c r="H9" s="2"/>
      <c r="I9" s="2"/>
    </row>
    <row r="10" customFormat="false" ht="18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8" hidden="false" customHeight="true" outlineLevel="0" collapsed="false">
      <c r="A11" s="2"/>
      <c r="B11" s="7" t="s">
        <v>4</v>
      </c>
      <c r="C11" s="7"/>
      <c r="D11" s="7"/>
      <c r="E11" s="7"/>
      <c r="F11" s="7"/>
      <c r="G11" s="2"/>
      <c r="H11" s="2"/>
      <c r="I11" s="2"/>
    </row>
    <row r="12" customFormat="false" ht="18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.7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true" outlineLevel="0" collapsed="false">
      <c r="A14" s="8"/>
      <c r="B14" s="9" t="s">
        <v>5</v>
      </c>
      <c r="C14" s="9"/>
      <c r="D14" s="9"/>
      <c r="E14" s="9"/>
      <c r="F14" s="9"/>
      <c r="G14" s="8"/>
      <c r="H14" s="8"/>
      <c r="I14" s="8"/>
    </row>
    <row r="15" customFormat="false" ht="15.7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8" hidden="false" customHeight="true" outlineLevel="0" collapsed="false">
      <c r="A16" s="8"/>
      <c r="B16" s="10" t="s">
        <v>6</v>
      </c>
      <c r="C16" s="11" t="s">
        <v>7</v>
      </c>
      <c r="D16" s="8"/>
      <c r="E16" s="8"/>
      <c r="F16" s="8"/>
      <c r="G16" s="8"/>
      <c r="H16" s="8"/>
      <c r="I16" s="8"/>
    </row>
    <row r="17" customFormat="false" ht="18" hidden="false" customHeight="true" outlineLevel="0" collapsed="false">
      <c r="A17" s="8"/>
      <c r="B17" s="10" t="s">
        <v>8</v>
      </c>
      <c r="C17" s="11" t="s">
        <v>9</v>
      </c>
      <c r="D17" s="8"/>
      <c r="E17" s="8"/>
      <c r="F17" s="8"/>
      <c r="G17" s="8"/>
      <c r="H17" s="8"/>
      <c r="I17" s="8"/>
    </row>
    <row r="18" customFormat="false" ht="18" hidden="false" customHeight="true" outlineLevel="0" collapsed="false">
      <c r="A18" s="8"/>
      <c r="B18" s="10" t="s">
        <v>10</v>
      </c>
      <c r="C18" s="11" t="s">
        <v>11</v>
      </c>
      <c r="D18" s="8"/>
      <c r="E18" s="8"/>
      <c r="F18" s="8"/>
      <c r="G18" s="8"/>
      <c r="H18" s="8"/>
      <c r="I18" s="8"/>
    </row>
    <row r="19" customFormat="false" ht="18" hidden="false" customHeight="true" outlineLevel="0" collapsed="false">
      <c r="A19" s="8"/>
      <c r="B19" s="10" t="s">
        <v>12</v>
      </c>
      <c r="C19" s="11" t="s">
        <v>13</v>
      </c>
      <c r="D19" s="8"/>
      <c r="E19" s="8"/>
      <c r="F19" s="8"/>
      <c r="G19" s="8"/>
      <c r="H19" s="8"/>
      <c r="I19" s="8"/>
    </row>
    <row r="20" customFormat="false" ht="18" hidden="false" customHeight="true" outlineLevel="0" collapsed="false">
      <c r="A20" s="8"/>
      <c r="B20" s="10" t="s">
        <v>14</v>
      </c>
      <c r="C20" s="11" t="s">
        <v>15</v>
      </c>
      <c r="D20" s="8"/>
      <c r="E20" s="8"/>
      <c r="F20" s="8"/>
      <c r="G20" s="8"/>
      <c r="H20" s="8"/>
      <c r="I20" s="8"/>
    </row>
    <row r="21" customFormat="false" ht="18" hidden="false" customHeight="true" outlineLevel="0" collapsed="false">
      <c r="A21" s="8"/>
      <c r="B21" s="10" t="s">
        <v>16</v>
      </c>
      <c r="C21" s="11" t="s">
        <v>17</v>
      </c>
      <c r="D21" s="8"/>
      <c r="E21" s="8"/>
      <c r="F21" s="8"/>
      <c r="G21" s="8"/>
      <c r="H21" s="8"/>
      <c r="I21" s="8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.75" hidden="false" customHeight="true" outlineLevel="0" collapsed="false">
      <c r="A24" s="8"/>
      <c r="B24" s="9" t="s">
        <v>18</v>
      </c>
      <c r="C24" s="9"/>
      <c r="D24" s="9"/>
      <c r="E24" s="9"/>
      <c r="F24" s="9"/>
      <c r="G24" s="8"/>
      <c r="H24" s="8"/>
      <c r="I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8" hidden="false" customHeight="true" outlineLevel="0" collapsed="false">
      <c r="A26" s="8"/>
      <c r="B26" s="12" t="s">
        <v>19</v>
      </c>
      <c r="C26" s="13"/>
      <c r="D26" s="14" t="s">
        <v>20</v>
      </c>
      <c r="E26" s="8"/>
      <c r="F26" s="8"/>
      <c r="G26" s="8"/>
      <c r="H26" s="8"/>
      <c r="I26" s="8"/>
    </row>
    <row r="27" customFormat="false" ht="18" hidden="false" customHeight="true" outlineLevel="0" collapsed="false">
      <c r="A27" s="8"/>
      <c r="B27" s="15" t="s">
        <v>21</v>
      </c>
      <c r="C27" s="8"/>
      <c r="D27" s="16" t="s">
        <v>22</v>
      </c>
      <c r="E27" s="8"/>
      <c r="F27" s="8"/>
      <c r="G27" s="8"/>
      <c r="H27" s="8"/>
      <c r="I27" s="8"/>
    </row>
    <row r="28" customFormat="false" ht="18" hidden="false" customHeight="true" outlineLevel="0" collapsed="false">
      <c r="A28" s="8"/>
      <c r="B28" s="12" t="s">
        <v>23</v>
      </c>
      <c r="C28" s="13"/>
      <c r="D28" s="14" t="s">
        <v>24</v>
      </c>
      <c r="E28" s="8"/>
      <c r="F28" s="8"/>
      <c r="G28" s="8"/>
      <c r="H28" s="8"/>
      <c r="I28" s="8"/>
    </row>
    <row r="29" customFormat="false" ht="18" hidden="false" customHeight="true" outlineLevel="0" collapsed="false">
      <c r="A29" s="8"/>
      <c r="B29" s="15" t="s">
        <v>25</v>
      </c>
      <c r="C29" s="8"/>
      <c r="D29" s="16" t="s">
        <v>26</v>
      </c>
      <c r="E29" s="8"/>
      <c r="F29" s="8"/>
      <c r="G29" s="8"/>
      <c r="H29" s="8"/>
      <c r="I29" s="8"/>
    </row>
    <row r="30" customFormat="false" ht="18" hidden="false" customHeight="true" outlineLevel="0" collapsed="false">
      <c r="A30" s="8"/>
      <c r="B30" s="12" t="s">
        <v>27</v>
      </c>
      <c r="C30" s="13"/>
      <c r="D30" s="14" t="s">
        <v>28</v>
      </c>
      <c r="E30" s="8"/>
      <c r="F30" s="8"/>
      <c r="G30" s="8"/>
      <c r="H30" s="8"/>
      <c r="I30" s="8"/>
    </row>
    <row r="31" customFormat="false" ht="18" hidden="false" customHeight="true" outlineLevel="0" collapsed="false">
      <c r="A31" s="8"/>
      <c r="B31" s="15" t="s">
        <v>29</v>
      </c>
      <c r="C31" s="8"/>
      <c r="D31" s="16" t="s">
        <v>20</v>
      </c>
      <c r="E31" s="8"/>
      <c r="F31" s="8"/>
      <c r="G31" s="8"/>
      <c r="H31" s="8"/>
      <c r="I31" s="8"/>
    </row>
    <row r="32" customFormat="false" ht="18" hidden="false" customHeight="true" outlineLevel="0" collapsed="false">
      <c r="A32" s="8"/>
      <c r="B32" s="12" t="s">
        <v>30</v>
      </c>
      <c r="C32" s="13"/>
      <c r="D32" s="14" t="s">
        <v>31</v>
      </c>
      <c r="E32" s="8"/>
      <c r="F32" s="8"/>
      <c r="G32" s="8"/>
      <c r="H32" s="8"/>
      <c r="I32" s="8"/>
    </row>
    <row r="33" customFormat="false" ht="18" hidden="false" customHeight="true" outlineLevel="0" collapsed="false">
      <c r="A33" s="8"/>
      <c r="B33" s="15" t="s">
        <v>32</v>
      </c>
      <c r="C33" s="8"/>
      <c r="D33" s="16" t="s">
        <v>33</v>
      </c>
      <c r="E33" s="8"/>
      <c r="F33" s="8"/>
      <c r="G33" s="8"/>
      <c r="H33" s="8"/>
      <c r="I33" s="8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</row>
    <row r="35" customFormat="false" ht="15.7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.75" hidden="false" customHeight="true" outlineLevel="0" collapsed="false">
      <c r="A38" s="8"/>
      <c r="B38" s="17" t="s">
        <v>34</v>
      </c>
      <c r="C38" s="8"/>
      <c r="D38" s="8"/>
      <c r="E38" s="8"/>
      <c r="F38" s="8"/>
      <c r="G38" s="8"/>
      <c r="H38" s="8"/>
      <c r="I38" s="8"/>
    </row>
    <row r="39" customFormat="false" ht="15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</row>
  </sheetData>
  <mergeCells count="6">
    <mergeCell ref="B6:F6"/>
    <mergeCell ref="B7:F7"/>
    <mergeCell ref="B9:F9"/>
    <mergeCell ref="B11:F11"/>
    <mergeCell ref="B14:F14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6" min="5" style="1" width="18"/>
  </cols>
  <sheetData>
    <row r="1" customFormat="false" ht="15.75" hidden="false" customHeight="true" outlineLevel="0" collapsed="false">
      <c r="A1" s="8"/>
      <c r="B1" s="8"/>
      <c r="C1" s="8"/>
      <c r="D1" s="8"/>
      <c r="E1" s="8"/>
      <c r="F1" s="8"/>
      <c r="G1" s="8"/>
    </row>
    <row r="2" customFormat="false" ht="15.75" hidden="false" customHeight="true" outlineLevel="0" collapsed="false">
      <c r="A2" s="8"/>
      <c r="B2" s="18" t="s">
        <v>35</v>
      </c>
      <c r="C2" s="18"/>
      <c r="D2" s="18"/>
      <c r="E2" s="18"/>
      <c r="F2" s="18"/>
      <c r="G2" s="8"/>
    </row>
    <row r="3" customFormat="false" ht="15.75" hidden="false" customHeight="true" outlineLevel="0" collapsed="false">
      <c r="A3" s="8"/>
      <c r="B3" s="8"/>
      <c r="C3" s="8"/>
      <c r="D3" s="8"/>
      <c r="E3" s="8"/>
      <c r="F3" s="8"/>
      <c r="G3" s="8"/>
    </row>
    <row r="4" customFormat="false" ht="15.75" hidden="false" customHeight="true" outlineLevel="0" collapsed="false">
      <c r="A4" s="8"/>
      <c r="B4" s="19" t="s">
        <v>36</v>
      </c>
      <c r="C4" s="19"/>
      <c r="D4" s="19"/>
      <c r="E4" s="19"/>
      <c r="F4" s="8"/>
      <c r="G4" s="8"/>
    </row>
    <row r="5" customFormat="false" ht="15.75" hidden="false" customHeight="true" outlineLevel="0" collapsed="false">
      <c r="A5" s="8"/>
      <c r="B5" s="8"/>
      <c r="C5" s="8"/>
      <c r="D5" s="8"/>
      <c r="E5" s="8"/>
      <c r="F5" s="8"/>
      <c r="G5" s="8"/>
    </row>
    <row r="6" customFormat="false" ht="16.5" hidden="false" customHeight="true" outlineLevel="0" collapsed="false">
      <c r="A6" s="8"/>
      <c r="B6" s="12" t="s">
        <v>30</v>
      </c>
      <c r="C6" s="20" t="n">
        <v>0.2</v>
      </c>
      <c r="D6" s="21" t="s">
        <v>37</v>
      </c>
      <c r="E6" s="8"/>
      <c r="F6" s="8"/>
      <c r="G6" s="8"/>
    </row>
    <row r="7" customFormat="false" ht="16.5" hidden="false" customHeight="true" outlineLevel="0" collapsed="false">
      <c r="A7" s="8"/>
      <c r="B7" s="15" t="s">
        <v>38</v>
      </c>
      <c r="C7" s="22" t="n">
        <v>0.06</v>
      </c>
      <c r="D7" s="23" t="s">
        <v>39</v>
      </c>
      <c r="E7" s="8"/>
      <c r="F7" s="8"/>
      <c r="G7" s="8"/>
    </row>
    <row r="8" customFormat="false" ht="16.5" hidden="false" customHeight="true" outlineLevel="0" collapsed="false">
      <c r="A8" s="8"/>
      <c r="B8" s="12" t="s">
        <v>40</v>
      </c>
      <c r="C8" s="20" t="n">
        <v>0</v>
      </c>
      <c r="D8" s="21" t="s">
        <v>41</v>
      </c>
      <c r="E8" s="8"/>
      <c r="F8" s="8"/>
      <c r="G8" s="8"/>
    </row>
    <row r="9" customFormat="false" ht="16.5" hidden="false" customHeight="true" outlineLevel="0" collapsed="false">
      <c r="A9" s="8"/>
      <c r="B9" s="15" t="s">
        <v>42</v>
      </c>
      <c r="C9" s="22" t="n">
        <v>0</v>
      </c>
      <c r="D9" s="23" t="s">
        <v>43</v>
      </c>
      <c r="E9" s="8"/>
      <c r="F9" s="8"/>
      <c r="G9" s="8"/>
    </row>
    <row r="10" customFormat="false" ht="16.5" hidden="false" customHeight="true" outlineLevel="0" collapsed="false">
      <c r="A10" s="8"/>
      <c r="B10" s="12" t="s">
        <v>44</v>
      </c>
      <c r="C10" s="20" t="n">
        <v>0</v>
      </c>
      <c r="D10" s="21" t="s">
        <v>45</v>
      </c>
      <c r="E10" s="8"/>
      <c r="F10" s="8"/>
      <c r="G10" s="8"/>
    </row>
    <row r="11" customFormat="false" ht="15.75" hidden="false" customHeight="true" outlineLevel="0" collapsed="false">
      <c r="A11" s="8"/>
      <c r="B11" s="8"/>
      <c r="C11" s="8"/>
      <c r="D11" s="8"/>
      <c r="E11" s="8"/>
      <c r="F11" s="8"/>
      <c r="G11" s="8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</row>
    <row r="13" customFormat="false" ht="15.75" hidden="false" customHeight="true" outlineLevel="0" collapsed="false">
      <c r="A13" s="8"/>
      <c r="B13" s="19" t="s">
        <v>46</v>
      </c>
      <c r="C13" s="19"/>
      <c r="D13" s="19"/>
      <c r="E13" s="19"/>
      <c r="F13" s="8"/>
      <c r="G13" s="8"/>
    </row>
    <row r="14" customFormat="false" ht="15.75" hidden="false" customHeight="true" outlineLevel="0" collapsed="false">
      <c r="A14" s="8"/>
      <c r="B14" s="8"/>
      <c r="C14" s="8"/>
      <c r="D14" s="8"/>
      <c r="E14" s="8"/>
      <c r="F14" s="8"/>
      <c r="G14" s="8"/>
    </row>
    <row r="15" customFormat="false" ht="16.5" hidden="false" customHeight="true" outlineLevel="0" collapsed="false">
      <c r="A15" s="8"/>
      <c r="B15" s="12" t="s">
        <v>47</v>
      </c>
      <c r="C15" s="20" t="n">
        <v>0.15</v>
      </c>
      <c r="D15" s="21" t="s">
        <v>48</v>
      </c>
      <c r="E15" s="8"/>
      <c r="F15" s="8"/>
      <c r="G15" s="8"/>
    </row>
    <row r="16" customFormat="false" ht="16.5" hidden="false" customHeight="true" outlineLevel="0" collapsed="false">
      <c r="A16" s="8"/>
      <c r="B16" s="15" t="s">
        <v>49</v>
      </c>
      <c r="C16" s="22" t="n">
        <v>0.043</v>
      </c>
      <c r="D16" s="23" t="s">
        <v>50</v>
      </c>
      <c r="E16" s="8"/>
      <c r="F16" s="8"/>
      <c r="G16" s="8"/>
    </row>
    <row r="17" customFormat="false" ht="16.5" hidden="false" customHeight="true" outlineLevel="0" collapsed="false">
      <c r="A17" s="8"/>
      <c r="B17" s="12" t="s">
        <v>51</v>
      </c>
      <c r="C17" s="20" t="n">
        <v>0.055</v>
      </c>
      <c r="D17" s="21" t="s">
        <v>52</v>
      </c>
      <c r="E17" s="8"/>
      <c r="F17" s="8"/>
      <c r="G17" s="8"/>
    </row>
    <row r="18" customFormat="false" ht="16.5" hidden="false" customHeight="true" outlineLevel="0" collapsed="false">
      <c r="A18" s="8"/>
      <c r="B18" s="15" t="s">
        <v>53</v>
      </c>
      <c r="C18" s="22" t="n">
        <v>0.25</v>
      </c>
      <c r="D18" s="23" t="s">
        <v>54</v>
      </c>
      <c r="E18" s="8"/>
      <c r="F18" s="8"/>
      <c r="G18" s="8"/>
    </row>
    <row r="19" customFormat="false" ht="16.5" hidden="false" customHeight="true" outlineLevel="0" collapsed="false">
      <c r="A19" s="8"/>
      <c r="B19" s="12" t="s">
        <v>55</v>
      </c>
      <c r="C19" s="24" t="n">
        <v>1.27</v>
      </c>
      <c r="D19" s="21" t="s">
        <v>56</v>
      </c>
      <c r="E19" s="8"/>
      <c r="F19" s="8"/>
      <c r="G19" s="8"/>
    </row>
    <row r="20" customFormat="false" ht="15.75" hidden="false" customHeight="true" outlineLevel="0" collapsed="false">
      <c r="A20" s="8"/>
      <c r="B20" s="8"/>
      <c r="C20" s="8"/>
      <c r="D20" s="8"/>
      <c r="E20" s="8"/>
      <c r="F20" s="8"/>
      <c r="G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</row>
    <row r="22" customFormat="false" ht="15.75" hidden="false" customHeight="true" outlineLevel="0" collapsed="false">
      <c r="A22" s="8"/>
      <c r="B22" s="19" t="s">
        <v>57</v>
      </c>
      <c r="C22" s="19"/>
      <c r="D22" s="19"/>
      <c r="E22" s="19"/>
      <c r="F22" s="8"/>
      <c r="G22" s="8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8"/>
    </row>
    <row r="24" customFormat="false" ht="15.75" hidden="false" customHeight="true" outlineLevel="0" collapsed="false">
      <c r="A24" s="8"/>
      <c r="B24" s="12" t="s">
        <v>58</v>
      </c>
      <c r="C24" s="25" t="s">
        <v>59</v>
      </c>
      <c r="D24" s="21" t="s">
        <v>60</v>
      </c>
      <c r="E24" s="8"/>
      <c r="F24" s="8"/>
      <c r="G24" s="8"/>
    </row>
    <row r="25" customFormat="false" ht="15.75" hidden="false" customHeight="true" outlineLevel="0" collapsed="false">
      <c r="A25" s="8"/>
      <c r="B25" s="15" t="s">
        <v>32</v>
      </c>
      <c r="C25" s="26" t="s">
        <v>61</v>
      </c>
      <c r="D25" s="23" t="s">
        <v>62</v>
      </c>
      <c r="E25" s="8"/>
      <c r="F25" s="8"/>
      <c r="G25" s="8"/>
    </row>
    <row r="26" customFormat="false" ht="15.75" hidden="false" customHeight="true" outlineLevel="0" collapsed="false">
      <c r="A26" s="8"/>
      <c r="B26" s="12" t="s">
        <v>63</v>
      </c>
      <c r="C26" s="25" t="s">
        <v>64</v>
      </c>
      <c r="D26" s="21" t="s">
        <v>65</v>
      </c>
      <c r="E26" s="8"/>
      <c r="F26" s="8"/>
      <c r="G26" s="8"/>
    </row>
    <row r="27" customFormat="false" ht="15.75" hidden="false" customHeight="true" outlineLevel="0" collapsed="false">
      <c r="A27" s="8"/>
      <c r="B27" s="15" t="s">
        <v>53</v>
      </c>
      <c r="C27" s="26" t="s">
        <v>66</v>
      </c>
      <c r="D27" s="23" t="s">
        <v>67</v>
      </c>
      <c r="E27" s="8"/>
      <c r="F27" s="8"/>
      <c r="G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</row>
    <row r="31" customFormat="false" ht="15.75" hidden="false" customHeight="true" outlineLevel="0" collapsed="false">
      <c r="A31" s="8"/>
      <c r="B31" s="8"/>
      <c r="C31" s="8"/>
      <c r="D31" s="8"/>
      <c r="E31" s="8"/>
      <c r="F31" s="8"/>
      <c r="G31" s="8"/>
    </row>
    <row r="32" customFormat="false" ht="15.75" hidden="false" customHeight="true" outlineLevel="0" collapsed="false">
      <c r="A32" s="8"/>
      <c r="B32" s="8"/>
      <c r="C32" s="8"/>
      <c r="D32" s="8"/>
      <c r="E32" s="8"/>
      <c r="F32" s="8"/>
      <c r="G32" s="8"/>
    </row>
    <row r="33" customFormat="false" ht="15.75" hidden="false" customHeight="true" outlineLevel="0" collapsed="false">
      <c r="A33" s="8"/>
      <c r="B33" s="8"/>
      <c r="C33" s="8"/>
      <c r="D33" s="8"/>
      <c r="E33" s="8"/>
      <c r="F33" s="8"/>
      <c r="G33" s="8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</row>
    <row r="35" customFormat="false" ht="15.75" hidden="false" customHeight="true" outlineLevel="0" collapsed="false">
      <c r="A35" s="8"/>
      <c r="B35" s="8"/>
      <c r="C35" s="8"/>
      <c r="D35" s="8"/>
      <c r="E35" s="8"/>
      <c r="F35" s="8"/>
      <c r="G35" s="8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</row>
    <row r="38" customFormat="false" ht="15.75" hidden="false" customHeight="true" outlineLevel="0" collapsed="false">
      <c r="A38" s="8"/>
      <c r="B38" s="8"/>
      <c r="C38" s="8"/>
      <c r="D38" s="8"/>
      <c r="E38" s="8"/>
      <c r="F38" s="8"/>
      <c r="G38" s="8"/>
    </row>
    <row r="39" customFormat="false" ht="15.75" hidden="false" customHeight="true" outlineLevel="0" collapsed="false">
      <c r="A39" s="8"/>
      <c r="B39" s="8"/>
      <c r="C39" s="8"/>
      <c r="D39" s="8"/>
      <c r="E39" s="8"/>
      <c r="F39" s="8"/>
      <c r="G39" s="8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</row>
  </sheetData>
  <mergeCells count="4">
    <mergeCell ref="B2:F2"/>
    <mergeCell ref="B4:E4"/>
    <mergeCell ref="B13:E13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2"/>
      <c r="B2" s="27" t="s">
        <v>68</v>
      </c>
      <c r="C2" s="27"/>
      <c r="D2" s="27"/>
      <c r="E2" s="27"/>
      <c r="F2" s="27"/>
      <c r="G2" s="27"/>
      <c r="H2" s="2"/>
    </row>
    <row r="3" customFormat="false" ht="13.5" hidden="false" customHeight="true" outlineLevel="0" collapsed="false">
      <c r="A3" s="2"/>
      <c r="B3" s="28" t="s">
        <v>69</v>
      </c>
      <c r="C3" s="28"/>
      <c r="D3" s="28"/>
      <c r="E3" s="28"/>
      <c r="F3" s="28"/>
      <c r="G3" s="28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9.5" hidden="false" customHeight="true" outlineLevel="0" collapsed="false">
      <c r="A5" s="8"/>
      <c r="B5" s="29" t="s">
        <v>70</v>
      </c>
      <c r="C5" s="30" t="s">
        <v>71</v>
      </c>
      <c r="D5" s="30" t="s">
        <v>72</v>
      </c>
      <c r="E5" s="30" t="s">
        <v>73</v>
      </c>
      <c r="F5" s="30" t="s">
        <v>74</v>
      </c>
      <c r="G5" s="8"/>
      <c r="H5" s="8"/>
    </row>
    <row r="6" customFormat="false" ht="15.75" hidden="false" customHeight="true" outlineLevel="0" collapsed="false">
      <c r="A6" s="8"/>
      <c r="B6" s="9" t="s">
        <v>75</v>
      </c>
      <c r="C6" s="9"/>
      <c r="D6" s="9"/>
      <c r="E6" s="9"/>
      <c r="F6" s="9"/>
      <c r="G6" s="8"/>
      <c r="H6" s="8"/>
    </row>
    <row r="7" customFormat="false" ht="15.75" hidden="false" customHeight="true" outlineLevel="0" collapsed="false">
      <c r="A7" s="8"/>
      <c r="B7" s="31" t="s">
        <v>76</v>
      </c>
      <c r="C7" s="32" t="n">
        <v>480000</v>
      </c>
      <c r="D7" s="33" t="n">
        <f aca="false">IFERROR(C7/C11,0)</f>
        <v>20869.5652173913</v>
      </c>
      <c r="E7" s="8"/>
      <c r="F7" s="21" t="s">
        <v>77</v>
      </c>
      <c r="G7" s="8"/>
      <c r="H7" s="8"/>
    </row>
    <row r="8" customFormat="false" ht="15.75" hidden="false" customHeight="true" outlineLevel="0" collapsed="false">
      <c r="A8" s="8"/>
      <c r="B8" s="34" t="s">
        <v>78</v>
      </c>
      <c r="C8" s="35" t="n">
        <v>407500</v>
      </c>
      <c r="D8" s="36" t="n">
        <f aca="false">IFERROR(C8/C11,0)</f>
        <v>17717.3913043478</v>
      </c>
      <c r="E8" s="8"/>
      <c r="F8" s="23" t="s">
        <v>79</v>
      </c>
      <c r="G8" s="8"/>
      <c r="H8" s="8"/>
    </row>
    <row r="9" customFormat="false" ht="15.75" hidden="false" customHeight="true" outlineLevel="0" collapsed="false">
      <c r="A9" s="8"/>
      <c r="B9" s="31" t="s">
        <v>80</v>
      </c>
      <c r="C9" s="33" t="n">
        <f aca="false">C6-C7</f>
        <v>-480000</v>
      </c>
      <c r="D9" s="37" t="n">
        <f aca="false">IF(C6=0,0,C9/C6)</f>
        <v>0</v>
      </c>
      <c r="E9" s="8"/>
      <c r="F9" s="21" t="s">
        <v>81</v>
      </c>
      <c r="G9" s="8"/>
      <c r="H9" s="8"/>
    </row>
    <row r="10" customFormat="false" ht="15.75" hidden="false" customHeight="true" outlineLevel="0" collapsed="false">
      <c r="A10" s="8"/>
      <c r="B10" s="34" t="s">
        <v>82</v>
      </c>
      <c r="C10" s="35" t="n">
        <v>288</v>
      </c>
      <c r="D10" s="36" t="n">
        <f aca="false">IFERROR(C10/C11,0)</f>
        <v>12.5217391304348</v>
      </c>
      <c r="E10" s="8"/>
      <c r="F10" s="23" t="s">
        <v>83</v>
      </c>
      <c r="G10" s="8"/>
      <c r="H10" s="8"/>
    </row>
    <row r="11" customFormat="false" ht="15.75" hidden="false" customHeight="true" outlineLevel="0" collapsed="false">
      <c r="A11" s="8"/>
      <c r="B11" s="31" t="s">
        <v>84</v>
      </c>
      <c r="C11" s="38" t="n">
        <v>23</v>
      </c>
      <c r="D11" s="13"/>
      <c r="E11" s="8"/>
      <c r="F11" s="21" t="s">
        <v>85</v>
      </c>
      <c r="G11" s="8"/>
      <c r="H11" s="8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.75" hidden="false" customHeight="true" outlineLevel="0" collapsed="false">
      <c r="A13" s="8"/>
      <c r="B13" s="9" t="s">
        <v>86</v>
      </c>
      <c r="C13" s="9"/>
      <c r="D13" s="9"/>
      <c r="E13" s="9"/>
      <c r="F13" s="9"/>
      <c r="G13" s="8"/>
      <c r="H13" s="8"/>
    </row>
    <row r="14" customFormat="false" ht="15.75" hidden="false" customHeight="true" outlineLevel="0" collapsed="false">
      <c r="A14" s="8"/>
      <c r="B14" s="31" t="s">
        <v>87</v>
      </c>
      <c r="C14" s="39" t="s">
        <v>88</v>
      </c>
      <c r="D14" s="13"/>
      <c r="E14" s="8"/>
      <c r="F14" s="21" t="s">
        <v>89</v>
      </c>
      <c r="G14" s="8"/>
      <c r="H14" s="8"/>
    </row>
    <row r="15" customFormat="false" ht="15.75" hidden="false" customHeight="true" outlineLevel="0" collapsed="false">
      <c r="A15" s="8"/>
      <c r="B15" s="34" t="s">
        <v>90</v>
      </c>
      <c r="C15" s="40" t="s">
        <v>91</v>
      </c>
      <c r="D15" s="8"/>
      <c r="E15" s="8"/>
      <c r="F15" s="23" t="s">
        <v>92</v>
      </c>
      <c r="G15" s="8"/>
      <c r="H15" s="8"/>
    </row>
    <row r="16" customFormat="false" ht="15.75" hidden="false" customHeight="true" outlineLevel="0" collapsed="false">
      <c r="A16" s="8"/>
      <c r="B16" s="31" t="s">
        <v>93</v>
      </c>
      <c r="C16" s="32" t="n">
        <v>160000000</v>
      </c>
      <c r="D16" s="33" t="n">
        <f aca="false">IFERROR(C16/C16,0)</f>
        <v>1</v>
      </c>
      <c r="E16" s="8"/>
      <c r="F16" s="21" t="s">
        <v>94</v>
      </c>
      <c r="G16" s="8"/>
      <c r="H16" s="8"/>
    </row>
    <row r="17" customFormat="false" ht="15.75" hidden="false" customHeight="true" outlineLevel="0" collapsed="false">
      <c r="A17" s="8"/>
      <c r="B17" s="34" t="s">
        <v>95</v>
      </c>
      <c r="C17" s="35" t="n">
        <v>425750</v>
      </c>
      <c r="D17" s="36" t="n">
        <f aca="false">IFERROR(C17/C17,0)</f>
        <v>1</v>
      </c>
      <c r="E17" s="8"/>
      <c r="F17" s="23" t="s">
        <v>96</v>
      </c>
      <c r="G17" s="8"/>
      <c r="H17" s="8"/>
    </row>
    <row r="18" customFormat="false" ht="15.75" hidden="false" customHeight="true" outlineLevel="0" collapsed="false">
      <c r="A18" s="8"/>
      <c r="B18" s="31" t="s">
        <v>97</v>
      </c>
      <c r="C18" s="33" t="n">
        <v>425750</v>
      </c>
      <c r="D18" s="33" t="n">
        <f aca="false">IFERROR(C18/C18,0)</f>
        <v>1</v>
      </c>
      <c r="E18" s="8"/>
      <c r="F18" s="21" t="s">
        <v>98</v>
      </c>
      <c r="G18" s="8"/>
      <c r="H18" s="8"/>
    </row>
    <row r="19" customFormat="false" ht="15.75" hidden="false" customHeight="true" outlineLevel="0" collapsed="false">
      <c r="A19" s="8"/>
      <c r="B19" s="34" t="s">
        <v>99</v>
      </c>
      <c r="C19" s="41" t="n">
        <f aca="false">IFERROR(C18-C17,0)</f>
        <v>0</v>
      </c>
      <c r="D19" s="36" t="n">
        <f aca="false">IFERROR(C18-C17,0)</f>
        <v>0</v>
      </c>
      <c r="E19" s="8"/>
      <c r="F19" s="23" t="s">
        <v>100</v>
      </c>
      <c r="G19" s="8"/>
      <c r="H19" s="8"/>
    </row>
    <row r="20" customFormat="false" ht="15.75" hidden="false" customHeight="true" outlineLevel="0" collapsed="false">
      <c r="A20" s="8"/>
      <c r="B20" s="31" t="s">
        <v>101</v>
      </c>
      <c r="C20" s="42" t="n">
        <v>1</v>
      </c>
      <c r="D20" s="42" t="n">
        <f aca="false">IFERROR(C20/C20,0)</f>
        <v>1</v>
      </c>
      <c r="E20" s="8"/>
      <c r="F20" s="21" t="s">
        <v>102</v>
      </c>
      <c r="G20" s="8"/>
      <c r="H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.75" hidden="false" customHeight="true" outlineLevel="0" collapsed="false">
      <c r="A22" s="8"/>
      <c r="B22" s="9" t="s">
        <v>103</v>
      </c>
      <c r="C22" s="9"/>
      <c r="D22" s="9"/>
      <c r="E22" s="9"/>
      <c r="F22" s="9"/>
      <c r="G22" s="8"/>
      <c r="H22" s="8"/>
    </row>
    <row r="23" customFormat="false" ht="15.75" hidden="false" customHeight="true" outlineLevel="0" collapsed="false">
      <c r="A23" s="8"/>
      <c r="B23" s="31" t="s">
        <v>104</v>
      </c>
      <c r="C23" s="43" t="n">
        <f aca="false">C18</f>
        <v>425750</v>
      </c>
      <c r="D23" s="13"/>
      <c r="E23" s="8"/>
      <c r="F23" s="44" t="s">
        <v>105</v>
      </c>
      <c r="G23" s="8"/>
      <c r="H23" s="8"/>
    </row>
    <row r="24" customFormat="false" ht="15.75" hidden="false" customHeight="true" outlineLevel="0" collapsed="false">
      <c r="A24" s="8"/>
      <c r="B24" s="34" t="s">
        <v>106</v>
      </c>
      <c r="C24" s="36" t="n">
        <f aca="false">MIN(C23,C17)</f>
        <v>425750</v>
      </c>
      <c r="D24" s="8"/>
      <c r="E24" s="8"/>
      <c r="F24" s="8"/>
      <c r="G24" s="8"/>
      <c r="H24" s="8"/>
    </row>
    <row r="25" customFormat="false" ht="15.75" hidden="false" customHeight="true" outlineLevel="0" collapsed="false">
      <c r="A25" s="8"/>
      <c r="B25" s="31" t="s">
        <v>107</v>
      </c>
      <c r="C25" s="33" t="n">
        <f aca="false">MAX(C23-C17,0)</f>
        <v>0</v>
      </c>
      <c r="D25" s="13"/>
      <c r="E25" s="8"/>
      <c r="F25" s="8"/>
      <c r="G25" s="8"/>
      <c r="H25" s="8"/>
    </row>
    <row r="26" customFormat="false" ht="15.75" hidden="false" customHeight="true" outlineLevel="0" collapsed="false">
      <c r="A26" s="8"/>
      <c r="B26" s="34" t="s">
        <v>108</v>
      </c>
      <c r="C26" s="45" t="n">
        <f aca="false">ROUND(C25*Assumptions!C6,2)</f>
        <v>0</v>
      </c>
      <c r="D26" s="8"/>
      <c r="E26" s="8"/>
      <c r="F26" s="23" t="s">
        <v>109</v>
      </c>
      <c r="G26" s="8"/>
      <c r="H26" s="8"/>
    </row>
    <row r="27" customFormat="false" ht="15.75" hidden="false" customHeight="true" outlineLevel="0" collapsed="false">
      <c r="A27" s="8"/>
      <c r="B27" s="46" t="s">
        <v>110</v>
      </c>
      <c r="C27" s="47" t="n">
        <f aca="false">C23-C26</f>
        <v>425750</v>
      </c>
      <c r="D27" s="13"/>
      <c r="E27" s="8"/>
      <c r="F27" s="8"/>
      <c r="G27" s="8"/>
      <c r="H27" s="8"/>
    </row>
    <row r="28" customFormat="false" ht="19.5" hidden="false" customHeight="true" outlineLevel="0" collapsed="false">
      <c r="A28" s="8"/>
      <c r="B28" s="48" t="s">
        <v>111</v>
      </c>
      <c r="C28" s="49" t="n">
        <f aca="false">C27</f>
        <v>425750</v>
      </c>
      <c r="D28" s="50"/>
      <c r="E28" s="8"/>
      <c r="F28" s="8"/>
      <c r="G28" s="8"/>
      <c r="H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.75" hidden="false" customHeight="true" outlineLevel="0" collapsed="false">
      <c r="A30" s="8"/>
      <c r="B30" s="9" t="s">
        <v>112</v>
      </c>
      <c r="C30" s="9"/>
      <c r="D30" s="9"/>
      <c r="E30" s="9"/>
      <c r="F30" s="9"/>
      <c r="G30" s="8"/>
      <c r="H30" s="8"/>
    </row>
    <row r="31" customFormat="false" ht="15.75" hidden="false" customHeight="true" outlineLevel="0" collapsed="false">
      <c r="A31" s="8"/>
      <c r="B31" s="31" t="s">
        <v>113</v>
      </c>
      <c r="C31" s="32" t="n">
        <v>0</v>
      </c>
      <c r="D31" s="13"/>
      <c r="E31" s="8"/>
      <c r="F31" s="44" t="s">
        <v>114</v>
      </c>
      <c r="G31" s="8"/>
      <c r="H31" s="8"/>
    </row>
    <row r="32" customFormat="false" ht="15.75" hidden="false" customHeight="true" outlineLevel="0" collapsed="false">
      <c r="A32" s="8"/>
      <c r="B32" s="34" t="s">
        <v>115</v>
      </c>
      <c r="C32" s="35" t="n">
        <v>0</v>
      </c>
      <c r="D32" s="8"/>
      <c r="E32" s="8"/>
      <c r="F32" s="51" t="s">
        <v>114</v>
      </c>
      <c r="G32" s="8"/>
      <c r="H32" s="8"/>
    </row>
    <row r="33" customFormat="false" ht="15.75" hidden="false" customHeight="true" outlineLevel="0" collapsed="false">
      <c r="A33" s="8"/>
      <c r="B33" s="31" t="s">
        <v>116</v>
      </c>
      <c r="C33" s="32" t="n">
        <v>0</v>
      </c>
      <c r="D33" s="13"/>
      <c r="E33" s="8"/>
      <c r="F33" s="44" t="s">
        <v>114</v>
      </c>
      <c r="G33" s="8"/>
      <c r="H33" s="8"/>
    </row>
    <row r="34" customFormat="false" ht="15.75" hidden="false" customHeight="true" outlineLevel="0" collapsed="false">
      <c r="A34" s="8"/>
      <c r="B34" s="34" t="s">
        <v>117</v>
      </c>
      <c r="C34" s="35" t="n">
        <v>0</v>
      </c>
      <c r="D34" s="8"/>
      <c r="E34" s="8"/>
      <c r="F34" s="51" t="s">
        <v>114</v>
      </c>
      <c r="G34" s="8"/>
      <c r="H34" s="8"/>
    </row>
    <row r="35" customFormat="false" ht="15.75" hidden="false" customHeight="true" outlineLevel="0" collapsed="false">
      <c r="A35" s="8"/>
      <c r="B35" s="31" t="s">
        <v>118</v>
      </c>
      <c r="C35" s="32" t="n">
        <v>0</v>
      </c>
      <c r="D35" s="13"/>
      <c r="E35" s="8"/>
      <c r="F35" s="44" t="s">
        <v>114</v>
      </c>
      <c r="G35" s="8"/>
      <c r="H35" s="8"/>
    </row>
    <row r="36" customFormat="false" ht="19.5" hidden="false" customHeight="true" outlineLevel="0" collapsed="false">
      <c r="A36" s="8"/>
      <c r="B36" s="48" t="s">
        <v>119</v>
      </c>
      <c r="C36" s="49" t="n">
        <f aca="false">SUM(C31:C35)</f>
        <v>0</v>
      </c>
      <c r="D36" s="50"/>
      <c r="E36" s="8"/>
      <c r="F36" s="8"/>
      <c r="G36" s="8"/>
      <c r="H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.75" hidden="false" customHeight="true" outlineLevel="0" collapsed="false">
      <c r="A38" s="8"/>
      <c r="B38" s="9" t="s">
        <v>120</v>
      </c>
      <c r="C38" s="9"/>
      <c r="D38" s="9"/>
      <c r="E38" s="9"/>
      <c r="F38" s="9"/>
      <c r="G38" s="8"/>
      <c r="H38" s="8"/>
    </row>
    <row r="39" customFormat="false" ht="18" hidden="false" customHeight="true" outlineLevel="0" collapsed="false">
      <c r="A39" s="8"/>
      <c r="B39" s="52" t="s">
        <v>121</v>
      </c>
      <c r="C39" s="53" t="n">
        <v>1.5</v>
      </c>
      <c r="D39" s="53" t="n">
        <v>2</v>
      </c>
      <c r="E39" s="53" t="n">
        <v>3</v>
      </c>
      <c r="F39" s="53" t="n">
        <v>4</v>
      </c>
      <c r="G39" s="53" t="n">
        <v>5</v>
      </c>
      <c r="H39" s="8"/>
    </row>
    <row r="40" customFormat="false" ht="16.5" hidden="false" customHeight="true" outlineLevel="0" collapsed="false">
      <c r="A40" s="8"/>
      <c r="B40" s="54" t="s">
        <v>122</v>
      </c>
      <c r="C40" s="37" t="n">
        <f aca="false">(1.5)^(1/2)-1</f>
        <v>0.224744871391589</v>
      </c>
      <c r="D40" s="37" t="n">
        <f aca="false">(2)^(1/2)-1</f>
        <v>0.414213562373095</v>
      </c>
      <c r="E40" s="37" t="n">
        <f aca="false">(3)^(1/2)-1</f>
        <v>0.732050807568877</v>
      </c>
      <c r="F40" s="37" t="n">
        <f aca="false">(4)^(1/2)-1</f>
        <v>1</v>
      </c>
      <c r="G40" s="37" t="n">
        <f aca="false">(5)^(1/2)-1</f>
        <v>1.23606797749979</v>
      </c>
      <c r="H40" s="8"/>
    </row>
    <row r="41" customFormat="false" ht="16.5" hidden="false" customHeight="true" outlineLevel="0" collapsed="false">
      <c r="A41" s="8"/>
      <c r="B41" s="54" t="s">
        <v>123</v>
      </c>
      <c r="C41" s="55" t="n">
        <f aca="false">(1.5)^(1/3)-1</f>
        <v>0.144714242553332</v>
      </c>
      <c r="D41" s="55" t="n">
        <f aca="false">(2)^(1/3)-1</f>
        <v>0.259921049894873</v>
      </c>
      <c r="E41" s="55" t="n">
        <f aca="false">(3)^(1/3)-1</f>
        <v>0.442249570307408</v>
      </c>
      <c r="F41" s="55" t="n">
        <f aca="false">(4)^(1/3)-1</f>
        <v>0.587401051968199</v>
      </c>
      <c r="G41" s="55" t="n">
        <f aca="false">(5)^(1/3)-1</f>
        <v>0.709975946676697</v>
      </c>
      <c r="H41" s="8"/>
    </row>
    <row r="42" customFormat="false" ht="16.5" hidden="false" customHeight="true" outlineLevel="0" collapsed="false">
      <c r="A42" s="8"/>
      <c r="B42" s="54" t="s">
        <v>124</v>
      </c>
      <c r="C42" s="37" t="n">
        <f aca="false">(1.5)^(1/4)-1</f>
        <v>0.106681919700321</v>
      </c>
      <c r="D42" s="37" t="n">
        <f aca="false">(2)^(1/4)-1</f>
        <v>0.189207115002721</v>
      </c>
      <c r="E42" s="37" t="n">
        <f aca="false">(3)^(1/4)-1</f>
        <v>0.316074012952492</v>
      </c>
      <c r="F42" s="37" t="n">
        <f aca="false">(4)^(1/4)-1</f>
        <v>0.414213562373095</v>
      </c>
      <c r="G42" s="37" t="n">
        <f aca="false">(5)^(1/4)-1</f>
        <v>0.495348781221221</v>
      </c>
      <c r="H42" s="8"/>
    </row>
    <row r="43" customFormat="false" ht="16.5" hidden="false" customHeight="true" outlineLevel="0" collapsed="false">
      <c r="A43" s="8"/>
      <c r="B43" s="54" t="s">
        <v>125</v>
      </c>
      <c r="C43" s="55" t="n">
        <f aca="false">(1.5)^(1/5)-1</f>
        <v>0.0844717711976986</v>
      </c>
      <c r="D43" s="55" t="n">
        <f aca="false">(2)^(1/5)-1</f>
        <v>0.148698354997035</v>
      </c>
      <c r="E43" s="55" t="n">
        <f aca="false">(3)^(1/5)-1</f>
        <v>0.245730939615517</v>
      </c>
      <c r="F43" s="55" t="n">
        <f aca="false">(4)^(1/5)-1</f>
        <v>0.319507910772894</v>
      </c>
      <c r="G43" s="55" t="n">
        <f aca="false">(5)^(1/5)-1</f>
        <v>0.379729661461215</v>
      </c>
      <c r="H43" s="8"/>
    </row>
    <row r="44" customFormat="false" ht="16.5" hidden="false" customHeight="true" outlineLevel="0" collapsed="false">
      <c r="A44" s="8"/>
      <c r="B44" s="54" t="s">
        <v>126</v>
      </c>
      <c r="C44" s="37" t="n">
        <f aca="false">(1.5)^(1/7)-1</f>
        <v>0.0596340226670484</v>
      </c>
      <c r="D44" s="37" t="n">
        <f aca="false">(2)^(1/7)-1</f>
        <v>0.104089513673812</v>
      </c>
      <c r="E44" s="37" t="n">
        <f aca="false">(3)^(1/7)-1</f>
        <v>0.169930812758687</v>
      </c>
      <c r="F44" s="37" t="n">
        <f aca="false">(4)^(1/7)-1</f>
        <v>0.219013654204475</v>
      </c>
      <c r="G44" s="37" t="n">
        <f aca="false">(5)^(1/7)-1</f>
        <v>0.258498950641827</v>
      </c>
      <c r="H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.75" hidden="false" customHeight="true" outlineLevel="0" collapsed="false">
      <c r="A46" s="8"/>
      <c r="B46" s="17" t="s">
        <v>127</v>
      </c>
      <c r="C46" s="8"/>
      <c r="D46" s="8"/>
      <c r="E46" s="8"/>
      <c r="F46" s="8"/>
      <c r="G46" s="8"/>
      <c r="H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</row>
  </sheetData>
  <mergeCells count="7">
    <mergeCell ref="B2:G2"/>
    <mergeCell ref="B3:G3"/>
    <mergeCell ref="B6:F6"/>
    <mergeCell ref="B13:F13"/>
    <mergeCell ref="B22:F22"/>
    <mergeCell ref="B30:F30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2"/>
      <c r="B2" s="27" t="s">
        <v>128</v>
      </c>
      <c r="C2" s="27"/>
      <c r="D2" s="27"/>
      <c r="E2" s="27"/>
      <c r="F2" s="27"/>
      <c r="G2" s="27"/>
      <c r="H2" s="2"/>
    </row>
    <row r="3" customFormat="false" ht="13.5" hidden="false" customHeight="true" outlineLevel="0" collapsed="false">
      <c r="A3" s="2"/>
      <c r="B3" s="28" t="s">
        <v>129</v>
      </c>
      <c r="C3" s="28"/>
      <c r="D3" s="28"/>
      <c r="E3" s="28"/>
      <c r="F3" s="28"/>
      <c r="G3" s="28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9.5" hidden="false" customHeight="true" outlineLevel="0" collapsed="false">
      <c r="A5" s="8"/>
      <c r="B5" s="29" t="s">
        <v>70</v>
      </c>
      <c r="C5" s="30" t="s">
        <v>71</v>
      </c>
      <c r="D5" s="30" t="s">
        <v>72</v>
      </c>
      <c r="E5" s="30" t="s">
        <v>73</v>
      </c>
      <c r="F5" s="30" t="s">
        <v>74</v>
      </c>
      <c r="G5" s="8"/>
      <c r="H5" s="8"/>
    </row>
    <row r="6" customFormat="false" ht="15.75" hidden="false" customHeight="true" outlineLevel="0" collapsed="false">
      <c r="A6" s="8"/>
      <c r="B6" s="9" t="s">
        <v>75</v>
      </c>
      <c r="C6" s="9"/>
      <c r="D6" s="9"/>
      <c r="E6" s="9"/>
      <c r="F6" s="9"/>
      <c r="G6" s="8"/>
      <c r="H6" s="8"/>
    </row>
    <row r="7" customFormat="false" ht="15.75" hidden="false" customHeight="true" outlineLevel="0" collapsed="false">
      <c r="A7" s="8"/>
      <c r="B7" s="31" t="s">
        <v>76</v>
      </c>
      <c r="C7" s="32" t="n">
        <v>2020650</v>
      </c>
      <c r="D7" s="33" t="n">
        <f aca="false">IFERROR(C7/C11,0)</f>
        <v>32073.8095238095</v>
      </c>
      <c r="E7" s="8"/>
      <c r="F7" s="21" t="s">
        <v>77</v>
      </c>
      <c r="G7" s="8"/>
      <c r="H7" s="8"/>
    </row>
    <row r="8" customFormat="false" ht="15.75" hidden="false" customHeight="true" outlineLevel="0" collapsed="false">
      <c r="A8" s="8"/>
      <c r="B8" s="34" t="s">
        <v>78</v>
      </c>
      <c r="C8" s="35" t="n">
        <v>400800</v>
      </c>
      <c r="D8" s="36" t="n">
        <f aca="false">IFERROR(C8/C11,0)</f>
        <v>6361.90476190476</v>
      </c>
      <c r="E8" s="8"/>
      <c r="F8" s="23" t="s">
        <v>79</v>
      </c>
      <c r="G8" s="8"/>
      <c r="H8" s="8"/>
    </row>
    <row r="9" customFormat="false" ht="15.75" hidden="false" customHeight="true" outlineLevel="0" collapsed="false">
      <c r="A9" s="8"/>
      <c r="B9" s="31" t="s">
        <v>80</v>
      </c>
      <c r="C9" s="33" t="n">
        <f aca="false">C6-C7</f>
        <v>-2020650</v>
      </c>
      <c r="D9" s="37" t="n">
        <f aca="false">IF(C6=0,0,C9/C6)</f>
        <v>0</v>
      </c>
      <c r="E9" s="8"/>
      <c r="F9" s="21" t="s">
        <v>81</v>
      </c>
      <c r="G9" s="8"/>
      <c r="H9" s="8"/>
    </row>
    <row r="10" customFormat="false" ht="15.75" hidden="false" customHeight="true" outlineLevel="0" collapsed="false">
      <c r="A10" s="8"/>
      <c r="B10" s="34" t="s">
        <v>82</v>
      </c>
      <c r="C10" s="35" t="n">
        <v>1212.39</v>
      </c>
      <c r="D10" s="36" t="n">
        <f aca="false">IFERROR(C10/C11,0)</f>
        <v>19.2442857142857</v>
      </c>
      <c r="E10" s="8"/>
      <c r="F10" s="23" t="s">
        <v>83</v>
      </c>
      <c r="G10" s="8"/>
      <c r="H10" s="8"/>
    </row>
    <row r="11" customFormat="false" ht="15.75" hidden="false" customHeight="true" outlineLevel="0" collapsed="false">
      <c r="A11" s="8"/>
      <c r="B11" s="31" t="s">
        <v>84</v>
      </c>
      <c r="C11" s="38" t="n">
        <v>63</v>
      </c>
      <c r="D11" s="13"/>
      <c r="E11" s="8"/>
      <c r="F11" s="21" t="s">
        <v>85</v>
      </c>
      <c r="G11" s="8"/>
      <c r="H11" s="8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.75" hidden="false" customHeight="true" outlineLevel="0" collapsed="false">
      <c r="A13" s="8"/>
      <c r="B13" s="9" t="s">
        <v>86</v>
      </c>
      <c r="C13" s="9"/>
      <c r="D13" s="9"/>
      <c r="E13" s="9"/>
      <c r="F13" s="9"/>
      <c r="G13" s="8"/>
      <c r="H13" s="8"/>
    </row>
    <row r="14" customFormat="false" ht="15.75" hidden="false" customHeight="true" outlineLevel="0" collapsed="false">
      <c r="A14" s="8"/>
      <c r="B14" s="31" t="s">
        <v>87</v>
      </c>
      <c r="C14" s="39" t="s">
        <v>130</v>
      </c>
      <c r="D14" s="13"/>
      <c r="E14" s="8"/>
      <c r="F14" s="21" t="s">
        <v>89</v>
      </c>
      <c r="G14" s="8"/>
      <c r="H14" s="8"/>
    </row>
    <row r="15" customFormat="false" ht="15.75" hidden="false" customHeight="true" outlineLevel="0" collapsed="false">
      <c r="A15" s="8"/>
      <c r="B15" s="34" t="s">
        <v>90</v>
      </c>
      <c r="C15" s="40" t="s">
        <v>131</v>
      </c>
      <c r="D15" s="8"/>
      <c r="E15" s="8"/>
      <c r="F15" s="23" t="s">
        <v>92</v>
      </c>
      <c r="G15" s="8"/>
      <c r="H15" s="8"/>
    </row>
    <row r="16" customFormat="false" ht="15.75" hidden="false" customHeight="true" outlineLevel="0" collapsed="false">
      <c r="A16" s="8"/>
      <c r="B16" s="31" t="s">
        <v>93</v>
      </c>
      <c r="C16" s="32" t="n">
        <v>30500000000</v>
      </c>
      <c r="D16" s="33" t="n">
        <f aca="false">IFERROR(C16/C16,0)</f>
        <v>1</v>
      </c>
      <c r="E16" s="8"/>
      <c r="F16" s="21" t="s">
        <v>94</v>
      </c>
      <c r="G16" s="8"/>
      <c r="H16" s="8"/>
    </row>
    <row r="17" customFormat="false" ht="15.75" hidden="false" customHeight="true" outlineLevel="0" collapsed="false">
      <c r="A17" s="8"/>
      <c r="B17" s="34" t="s">
        <v>95</v>
      </c>
      <c r="C17" s="35" t="n">
        <v>2020650</v>
      </c>
      <c r="D17" s="36" t="n">
        <f aca="false">IFERROR(C17/C17,0)</f>
        <v>1</v>
      </c>
      <c r="E17" s="8"/>
      <c r="F17" s="23" t="s">
        <v>96</v>
      </c>
      <c r="G17" s="8"/>
      <c r="H17" s="8"/>
    </row>
    <row r="18" customFormat="false" ht="15.75" hidden="false" customHeight="true" outlineLevel="0" collapsed="false">
      <c r="A18" s="8"/>
      <c r="B18" s="31" t="s">
        <v>97</v>
      </c>
      <c r="C18" s="56" t="s">
        <v>132</v>
      </c>
      <c r="D18" s="13"/>
      <c r="E18" s="8"/>
      <c r="F18" s="21" t="s">
        <v>98</v>
      </c>
      <c r="G18" s="8"/>
      <c r="H18" s="8"/>
    </row>
    <row r="19" customFormat="false" ht="15.75" hidden="false" customHeight="true" outlineLevel="0" collapsed="false">
      <c r="A19" s="8"/>
      <c r="B19" s="34" t="s">
        <v>99</v>
      </c>
      <c r="C19" s="41" t="n">
        <f aca="false">IFERROR(C18-C17,0)</f>
        <v>0</v>
      </c>
      <c r="D19" s="36" t="n">
        <f aca="false">IFERROR(C18-C17,0)</f>
        <v>0</v>
      </c>
      <c r="E19" s="8"/>
      <c r="F19" s="23" t="s">
        <v>100</v>
      </c>
      <c r="G19" s="8"/>
      <c r="H19" s="8"/>
    </row>
    <row r="20" customFormat="false" ht="15.75" hidden="false" customHeight="true" outlineLevel="0" collapsed="false">
      <c r="A20" s="8"/>
      <c r="B20" s="31" t="s">
        <v>101</v>
      </c>
      <c r="C20" s="56" t="s">
        <v>132</v>
      </c>
      <c r="D20" s="13"/>
      <c r="E20" s="8"/>
      <c r="F20" s="21" t="s">
        <v>102</v>
      </c>
      <c r="G20" s="8"/>
      <c r="H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.75" hidden="false" customHeight="true" outlineLevel="0" collapsed="false">
      <c r="A22" s="8"/>
      <c r="B22" s="9" t="s">
        <v>103</v>
      </c>
      <c r="C22" s="9"/>
      <c r="D22" s="9"/>
      <c r="E22" s="9"/>
      <c r="F22" s="9"/>
      <c r="G22" s="8"/>
      <c r="H22" s="8"/>
    </row>
    <row r="23" customFormat="false" ht="15.75" hidden="false" customHeight="true" outlineLevel="0" collapsed="false">
      <c r="A23" s="8"/>
      <c r="B23" s="31" t="s">
        <v>104</v>
      </c>
      <c r="C23" s="57" t="n">
        <f aca="false">IFERROR(IF(ISNUMBER(C18),C18,C17),C17)</f>
        <v>2020650</v>
      </c>
      <c r="D23" s="13"/>
      <c r="E23" s="8"/>
      <c r="F23" s="44" t="s">
        <v>105</v>
      </c>
      <c r="G23" s="8"/>
      <c r="H23" s="8"/>
    </row>
    <row r="24" customFormat="false" ht="15.75" hidden="false" customHeight="true" outlineLevel="0" collapsed="false">
      <c r="A24" s="8"/>
      <c r="B24" s="34" t="s">
        <v>106</v>
      </c>
      <c r="C24" s="36" t="n">
        <f aca="false">MIN(C23,C17)</f>
        <v>2020650</v>
      </c>
      <c r="D24" s="8"/>
      <c r="E24" s="8"/>
      <c r="F24" s="8"/>
      <c r="G24" s="8"/>
      <c r="H24" s="8"/>
    </row>
    <row r="25" customFormat="false" ht="15.75" hidden="false" customHeight="true" outlineLevel="0" collapsed="false">
      <c r="A25" s="8"/>
      <c r="B25" s="31" t="s">
        <v>107</v>
      </c>
      <c r="C25" s="33" t="n">
        <f aca="false">MAX(C23-C17,0)</f>
        <v>0</v>
      </c>
      <c r="D25" s="13"/>
      <c r="E25" s="8"/>
      <c r="F25" s="8"/>
      <c r="G25" s="8"/>
      <c r="H25" s="8"/>
    </row>
    <row r="26" customFormat="false" ht="15.75" hidden="false" customHeight="true" outlineLevel="0" collapsed="false">
      <c r="A26" s="8"/>
      <c r="B26" s="34" t="s">
        <v>108</v>
      </c>
      <c r="C26" s="45" t="n">
        <f aca="false">ROUND(C25*Assumptions!C6,2)</f>
        <v>0</v>
      </c>
      <c r="D26" s="8"/>
      <c r="E26" s="8"/>
      <c r="F26" s="23" t="s">
        <v>109</v>
      </c>
      <c r="G26" s="8"/>
      <c r="H26" s="8"/>
    </row>
    <row r="27" customFormat="false" ht="15.75" hidden="false" customHeight="true" outlineLevel="0" collapsed="false">
      <c r="A27" s="8"/>
      <c r="B27" s="46" t="s">
        <v>110</v>
      </c>
      <c r="C27" s="47" t="n">
        <f aca="false">C23-C26</f>
        <v>2020650</v>
      </c>
      <c r="D27" s="13"/>
      <c r="E27" s="8"/>
      <c r="F27" s="8"/>
      <c r="G27" s="8"/>
      <c r="H27" s="8"/>
    </row>
    <row r="28" customFormat="false" ht="19.5" hidden="false" customHeight="true" outlineLevel="0" collapsed="false">
      <c r="A28" s="8"/>
      <c r="B28" s="48" t="s">
        <v>111</v>
      </c>
      <c r="C28" s="49" t="n">
        <f aca="false">C27</f>
        <v>2020650</v>
      </c>
      <c r="D28" s="50"/>
      <c r="E28" s="8"/>
      <c r="F28" s="8"/>
      <c r="G28" s="8"/>
      <c r="H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.75" hidden="false" customHeight="true" outlineLevel="0" collapsed="false">
      <c r="A30" s="8"/>
      <c r="B30" s="9" t="s">
        <v>112</v>
      </c>
      <c r="C30" s="9"/>
      <c r="D30" s="9"/>
      <c r="E30" s="9"/>
      <c r="F30" s="9"/>
      <c r="G30" s="8"/>
      <c r="H30" s="8"/>
    </row>
    <row r="31" customFormat="false" ht="15.75" hidden="false" customHeight="true" outlineLevel="0" collapsed="false">
      <c r="A31" s="8"/>
      <c r="B31" s="31" t="s">
        <v>113</v>
      </c>
      <c r="C31" s="32" t="n">
        <v>0</v>
      </c>
      <c r="D31" s="13"/>
      <c r="E31" s="8"/>
      <c r="F31" s="44" t="s">
        <v>114</v>
      </c>
      <c r="G31" s="8"/>
      <c r="H31" s="8"/>
    </row>
    <row r="32" customFormat="false" ht="15.75" hidden="false" customHeight="true" outlineLevel="0" collapsed="false">
      <c r="A32" s="8"/>
      <c r="B32" s="34" t="s">
        <v>115</v>
      </c>
      <c r="C32" s="35" t="n">
        <v>0</v>
      </c>
      <c r="D32" s="8"/>
      <c r="E32" s="8"/>
      <c r="F32" s="51" t="s">
        <v>114</v>
      </c>
      <c r="G32" s="8"/>
      <c r="H32" s="8"/>
    </row>
    <row r="33" customFormat="false" ht="15.75" hidden="false" customHeight="true" outlineLevel="0" collapsed="false">
      <c r="A33" s="8"/>
      <c r="B33" s="31" t="s">
        <v>116</v>
      </c>
      <c r="C33" s="32" t="n">
        <v>0</v>
      </c>
      <c r="D33" s="13"/>
      <c r="E33" s="8"/>
      <c r="F33" s="44" t="s">
        <v>114</v>
      </c>
      <c r="G33" s="8"/>
      <c r="H33" s="8"/>
    </row>
    <row r="34" customFormat="false" ht="15.75" hidden="false" customHeight="true" outlineLevel="0" collapsed="false">
      <c r="A34" s="8"/>
      <c r="B34" s="34" t="s">
        <v>117</v>
      </c>
      <c r="C34" s="35" t="n">
        <v>0</v>
      </c>
      <c r="D34" s="8"/>
      <c r="E34" s="8"/>
      <c r="F34" s="51" t="s">
        <v>114</v>
      </c>
      <c r="G34" s="8"/>
      <c r="H34" s="8"/>
    </row>
    <row r="35" customFormat="false" ht="15.75" hidden="false" customHeight="true" outlineLevel="0" collapsed="false">
      <c r="A35" s="8"/>
      <c r="B35" s="31" t="s">
        <v>118</v>
      </c>
      <c r="C35" s="32" t="n">
        <v>0</v>
      </c>
      <c r="D35" s="13"/>
      <c r="E35" s="8"/>
      <c r="F35" s="44" t="s">
        <v>114</v>
      </c>
      <c r="G35" s="8"/>
      <c r="H35" s="8"/>
    </row>
    <row r="36" customFormat="false" ht="19.5" hidden="false" customHeight="true" outlineLevel="0" collapsed="false">
      <c r="A36" s="8"/>
      <c r="B36" s="48" t="s">
        <v>119</v>
      </c>
      <c r="C36" s="49" t="n">
        <f aca="false">SUM(C31:C35)</f>
        <v>0</v>
      </c>
      <c r="D36" s="50"/>
      <c r="E36" s="8"/>
      <c r="F36" s="8"/>
      <c r="G36" s="8"/>
      <c r="H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.75" hidden="false" customHeight="true" outlineLevel="0" collapsed="false">
      <c r="A38" s="8"/>
      <c r="B38" s="9" t="s">
        <v>120</v>
      </c>
      <c r="C38" s="9"/>
      <c r="D38" s="9"/>
      <c r="E38" s="9"/>
      <c r="F38" s="9"/>
      <c r="G38" s="8"/>
      <c r="H38" s="8"/>
    </row>
    <row r="39" customFormat="false" ht="18" hidden="false" customHeight="true" outlineLevel="0" collapsed="false">
      <c r="A39" s="8"/>
      <c r="B39" s="52" t="s">
        <v>121</v>
      </c>
      <c r="C39" s="53" t="n">
        <v>1.5</v>
      </c>
      <c r="D39" s="53" t="n">
        <v>2</v>
      </c>
      <c r="E39" s="53" t="n">
        <v>3</v>
      </c>
      <c r="F39" s="53" t="n">
        <v>4</v>
      </c>
      <c r="G39" s="53" t="n">
        <v>5</v>
      </c>
      <c r="H39" s="8"/>
    </row>
    <row r="40" customFormat="false" ht="16.5" hidden="false" customHeight="true" outlineLevel="0" collapsed="false">
      <c r="A40" s="8"/>
      <c r="B40" s="54" t="s">
        <v>122</v>
      </c>
      <c r="C40" s="37" t="n">
        <f aca="false">(1.5)^(1/2)-1</f>
        <v>0.224744871391589</v>
      </c>
      <c r="D40" s="37" t="n">
        <f aca="false">(2)^(1/2)-1</f>
        <v>0.414213562373095</v>
      </c>
      <c r="E40" s="37" t="n">
        <f aca="false">(3)^(1/2)-1</f>
        <v>0.732050807568877</v>
      </c>
      <c r="F40" s="37" t="n">
        <f aca="false">(4)^(1/2)-1</f>
        <v>1</v>
      </c>
      <c r="G40" s="37" t="n">
        <f aca="false">(5)^(1/2)-1</f>
        <v>1.23606797749979</v>
      </c>
      <c r="H40" s="8"/>
    </row>
    <row r="41" customFormat="false" ht="16.5" hidden="false" customHeight="true" outlineLevel="0" collapsed="false">
      <c r="A41" s="8"/>
      <c r="B41" s="54" t="s">
        <v>123</v>
      </c>
      <c r="C41" s="55" t="n">
        <f aca="false">(1.5)^(1/3)-1</f>
        <v>0.144714242553332</v>
      </c>
      <c r="D41" s="55" t="n">
        <f aca="false">(2)^(1/3)-1</f>
        <v>0.259921049894873</v>
      </c>
      <c r="E41" s="55" t="n">
        <f aca="false">(3)^(1/3)-1</f>
        <v>0.442249570307408</v>
      </c>
      <c r="F41" s="55" t="n">
        <f aca="false">(4)^(1/3)-1</f>
        <v>0.587401051968199</v>
      </c>
      <c r="G41" s="55" t="n">
        <f aca="false">(5)^(1/3)-1</f>
        <v>0.709975946676697</v>
      </c>
      <c r="H41" s="8"/>
    </row>
    <row r="42" customFormat="false" ht="16.5" hidden="false" customHeight="true" outlineLevel="0" collapsed="false">
      <c r="A42" s="8"/>
      <c r="B42" s="54" t="s">
        <v>124</v>
      </c>
      <c r="C42" s="37" t="n">
        <f aca="false">(1.5)^(1/4)-1</f>
        <v>0.106681919700321</v>
      </c>
      <c r="D42" s="37" t="n">
        <f aca="false">(2)^(1/4)-1</f>
        <v>0.189207115002721</v>
      </c>
      <c r="E42" s="37" t="n">
        <f aca="false">(3)^(1/4)-1</f>
        <v>0.316074012952492</v>
      </c>
      <c r="F42" s="37" t="n">
        <f aca="false">(4)^(1/4)-1</f>
        <v>0.414213562373095</v>
      </c>
      <c r="G42" s="37" t="n">
        <f aca="false">(5)^(1/4)-1</f>
        <v>0.495348781221221</v>
      </c>
      <c r="H42" s="8"/>
    </row>
    <row r="43" customFormat="false" ht="16.5" hidden="false" customHeight="true" outlineLevel="0" collapsed="false">
      <c r="A43" s="8"/>
      <c r="B43" s="54" t="s">
        <v>125</v>
      </c>
      <c r="C43" s="55" t="n">
        <f aca="false">(1.5)^(1/5)-1</f>
        <v>0.0844717711976986</v>
      </c>
      <c r="D43" s="55" t="n">
        <f aca="false">(2)^(1/5)-1</f>
        <v>0.148698354997035</v>
      </c>
      <c r="E43" s="55" t="n">
        <f aca="false">(3)^(1/5)-1</f>
        <v>0.245730939615517</v>
      </c>
      <c r="F43" s="55" t="n">
        <f aca="false">(4)^(1/5)-1</f>
        <v>0.319507910772894</v>
      </c>
      <c r="G43" s="55" t="n">
        <f aca="false">(5)^(1/5)-1</f>
        <v>0.379729661461215</v>
      </c>
      <c r="H43" s="8"/>
    </row>
    <row r="44" customFormat="false" ht="16.5" hidden="false" customHeight="true" outlineLevel="0" collapsed="false">
      <c r="A44" s="8"/>
      <c r="B44" s="54" t="s">
        <v>126</v>
      </c>
      <c r="C44" s="37" t="n">
        <f aca="false">(1.5)^(1/7)-1</f>
        <v>0.0596340226670484</v>
      </c>
      <c r="D44" s="37" t="n">
        <f aca="false">(2)^(1/7)-1</f>
        <v>0.104089513673812</v>
      </c>
      <c r="E44" s="37" t="n">
        <f aca="false">(3)^(1/7)-1</f>
        <v>0.169930812758687</v>
      </c>
      <c r="F44" s="37" t="n">
        <f aca="false">(4)^(1/7)-1</f>
        <v>0.219013654204475</v>
      </c>
      <c r="G44" s="37" t="n">
        <f aca="false">(5)^(1/7)-1</f>
        <v>0.258498950641827</v>
      </c>
      <c r="H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.75" hidden="false" customHeight="true" outlineLevel="0" collapsed="false">
      <c r="A46" s="8"/>
      <c r="B46" s="17" t="s">
        <v>127</v>
      </c>
      <c r="C46" s="8"/>
      <c r="D46" s="8"/>
      <c r="E46" s="8"/>
      <c r="F46" s="8"/>
      <c r="G46" s="8"/>
      <c r="H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</row>
  </sheetData>
  <mergeCells count="7">
    <mergeCell ref="B2:G2"/>
    <mergeCell ref="B3:G3"/>
    <mergeCell ref="B6:F6"/>
    <mergeCell ref="B13:F13"/>
    <mergeCell ref="B22:F22"/>
    <mergeCell ref="B30:F30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20"/>
    <col collapsed="false" customWidth="true" hidden="false" outlineLevel="0" max="8" min="8" style="1" width="3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2"/>
      <c r="B2" s="27" t="s">
        <v>133</v>
      </c>
      <c r="C2" s="27"/>
      <c r="D2" s="27"/>
      <c r="E2" s="27"/>
      <c r="F2" s="27"/>
      <c r="G2" s="27"/>
      <c r="H2" s="2"/>
    </row>
    <row r="3" customFormat="false" ht="15.75" hidden="false" customHeight="true" outlineLevel="0" collapsed="false">
      <c r="A3" s="2"/>
      <c r="B3" s="28" t="s">
        <v>134</v>
      </c>
      <c r="C3" s="28"/>
      <c r="D3" s="28"/>
      <c r="E3" s="28"/>
      <c r="F3" s="28"/>
      <c r="G3" s="28"/>
      <c r="H3" s="2"/>
    </row>
    <row r="4" customFormat="false" ht="15.7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8"/>
      <c r="B5" s="58" t="s">
        <v>70</v>
      </c>
      <c r="C5" s="59" t="s">
        <v>135</v>
      </c>
      <c r="D5" s="59" t="s">
        <v>136</v>
      </c>
      <c r="E5" s="59" t="s">
        <v>137</v>
      </c>
      <c r="F5" s="8"/>
      <c r="G5" s="8"/>
      <c r="H5" s="8"/>
    </row>
    <row r="6" customFormat="false" ht="15.75" hidden="false" customHeight="true" outlineLevel="0" collapsed="false">
      <c r="A6" s="8"/>
      <c r="B6" s="9" t="s">
        <v>75</v>
      </c>
      <c r="C6" s="9"/>
      <c r="D6" s="9"/>
      <c r="E6" s="9"/>
      <c r="F6" s="8"/>
      <c r="G6" s="8"/>
      <c r="H6" s="8"/>
    </row>
    <row r="7" customFormat="false" ht="15.75" hidden="false" customHeight="true" outlineLevel="0" collapsed="false">
      <c r="A7" s="8"/>
      <c r="B7" s="31" t="s">
        <v>76</v>
      </c>
      <c r="C7" s="43" t="n">
        <v>480000</v>
      </c>
      <c r="D7" s="43" t="n">
        <v>2020650</v>
      </c>
      <c r="E7" s="33" t="n">
        <f aca="false">C7+D7</f>
        <v>2500650</v>
      </c>
      <c r="F7" s="8"/>
      <c r="G7" s="8"/>
      <c r="H7" s="8"/>
    </row>
    <row r="8" customFormat="false" ht="15.75" hidden="false" customHeight="true" outlineLevel="0" collapsed="false">
      <c r="A8" s="8"/>
      <c r="B8" s="34" t="s">
        <v>78</v>
      </c>
      <c r="C8" s="45" t="n">
        <v>407500</v>
      </c>
      <c r="D8" s="45" t="n">
        <v>400800</v>
      </c>
      <c r="E8" s="36" t="n">
        <f aca="false">C8+D8</f>
        <v>808300</v>
      </c>
      <c r="F8" s="8"/>
      <c r="G8" s="8"/>
      <c r="H8" s="8"/>
    </row>
    <row r="9" customFormat="false" ht="15.75" hidden="false" customHeight="true" outlineLevel="0" collapsed="false">
      <c r="A9" s="8"/>
      <c r="B9" s="31" t="s">
        <v>80</v>
      </c>
      <c r="C9" s="43" t="n">
        <v>72500</v>
      </c>
      <c r="D9" s="43" t="n">
        <v>1619850</v>
      </c>
      <c r="E9" s="33" t="n">
        <f aca="false">C9+D9</f>
        <v>1692350</v>
      </c>
      <c r="F9" s="8"/>
      <c r="G9" s="8"/>
      <c r="H9" s="8"/>
    </row>
    <row r="10" customFormat="false" ht="15.75" hidden="false" customHeight="true" outlineLevel="0" collapsed="false">
      <c r="A10" s="8"/>
      <c r="B10" s="34" t="s">
        <v>82</v>
      </c>
      <c r="C10" s="45" t="n">
        <v>288</v>
      </c>
      <c r="D10" s="45" t="n">
        <v>1212.39</v>
      </c>
      <c r="E10" s="36" t="n">
        <f aca="false">C10+D10</f>
        <v>1500.39</v>
      </c>
      <c r="F10" s="8"/>
      <c r="G10" s="8"/>
      <c r="H10" s="8"/>
    </row>
    <row r="11" customFormat="false" ht="15.75" hidden="false" customHeight="true" outlineLevel="0" collapsed="false">
      <c r="A11" s="8"/>
      <c r="B11" s="31" t="s">
        <v>84</v>
      </c>
      <c r="C11" s="60" t="n">
        <v>23</v>
      </c>
      <c r="D11" s="60" t="n">
        <v>63</v>
      </c>
      <c r="E11" s="61" t="n">
        <f aca="false">C11+D11</f>
        <v>86</v>
      </c>
      <c r="F11" s="8"/>
      <c r="G11" s="8"/>
      <c r="H11" s="8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.75" hidden="false" customHeight="true" outlineLevel="0" collapsed="false">
      <c r="A13" s="8"/>
      <c r="B13" s="9" t="s">
        <v>138</v>
      </c>
      <c r="C13" s="9"/>
      <c r="D13" s="9"/>
      <c r="E13" s="9"/>
      <c r="F13" s="8"/>
      <c r="G13" s="8"/>
      <c r="H13" s="8"/>
    </row>
    <row r="14" customFormat="false" ht="15.75" hidden="false" customHeight="true" outlineLevel="0" collapsed="false">
      <c r="A14" s="8"/>
      <c r="B14" s="31" t="s">
        <v>27</v>
      </c>
      <c r="C14" s="43" t="n">
        <v>425750</v>
      </c>
      <c r="D14" s="43" t="n">
        <v>2020650</v>
      </c>
      <c r="E14" s="33" t="n">
        <f aca="false">C14+D14</f>
        <v>2446400</v>
      </c>
      <c r="F14" s="8"/>
      <c r="G14" s="8"/>
      <c r="H14" s="8"/>
    </row>
    <row r="15" customFormat="false" ht="15.75" hidden="false" customHeight="true" outlineLevel="0" collapsed="false">
      <c r="A15" s="8"/>
      <c r="B15" s="34" t="s">
        <v>139</v>
      </c>
      <c r="C15" s="45" t="n">
        <v>425750</v>
      </c>
      <c r="D15" s="62" t="s">
        <v>140</v>
      </c>
      <c r="E15" s="36" t="n">
        <f aca="false">C15</f>
        <v>425750</v>
      </c>
      <c r="F15" s="8"/>
      <c r="G15" s="8"/>
      <c r="H15" s="8"/>
    </row>
    <row r="16" customFormat="false" ht="15.75" hidden="false" customHeight="true" outlineLevel="0" collapsed="false">
      <c r="A16" s="8"/>
      <c r="B16" s="31" t="s">
        <v>99</v>
      </c>
      <c r="C16" s="63" t="n">
        <v>0</v>
      </c>
      <c r="D16" s="43" t="n">
        <v>0</v>
      </c>
      <c r="E16" s="33" t="n">
        <f aca="false">C16+D16</f>
        <v>0</v>
      </c>
      <c r="F16" s="8"/>
      <c r="G16" s="8"/>
      <c r="H16" s="8"/>
    </row>
    <row r="17" customFormat="false" ht="15.75" hidden="false" customHeight="true" outlineLevel="0" collapsed="false">
      <c r="A17" s="8"/>
      <c r="B17" s="34" t="s">
        <v>141</v>
      </c>
      <c r="C17" s="64" t="n">
        <v>1</v>
      </c>
      <c r="D17" s="64" t="n">
        <v>1</v>
      </c>
      <c r="E17" s="65" t="n">
        <f aca="false">C17+D17</f>
        <v>2</v>
      </c>
      <c r="F17" s="8"/>
      <c r="G17" s="8"/>
      <c r="H17" s="8"/>
    </row>
    <row r="18" customFormat="false" ht="15.7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.75" hidden="false" customHeight="true" outlineLevel="0" collapsed="false">
      <c r="A19" s="8"/>
      <c r="B19" s="9" t="s">
        <v>142</v>
      </c>
      <c r="C19" s="9"/>
      <c r="D19" s="9"/>
      <c r="E19" s="9"/>
      <c r="F19" s="8"/>
      <c r="G19" s="8"/>
      <c r="H19" s="8"/>
    </row>
    <row r="20" customFormat="false" ht="15.75" hidden="false" customHeight="true" outlineLevel="0" collapsed="false">
      <c r="A20" s="8"/>
      <c r="B20" s="31" t="s">
        <v>143</v>
      </c>
      <c r="C20" s="43" t="n">
        <v>425750</v>
      </c>
      <c r="D20" s="43" t="n">
        <v>2020650</v>
      </c>
      <c r="E20" s="33" t="n">
        <f aca="false">C20+D20</f>
        <v>2446400</v>
      </c>
      <c r="F20" s="8"/>
      <c r="G20" s="8"/>
      <c r="H20" s="8"/>
    </row>
    <row r="21" customFormat="false" ht="15.75" hidden="false" customHeight="true" outlineLevel="0" collapsed="false">
      <c r="A21" s="8"/>
      <c r="B21" s="34" t="s">
        <v>144</v>
      </c>
      <c r="C21" s="45" t="n">
        <v>425750</v>
      </c>
      <c r="D21" s="45" t="n">
        <v>2020650</v>
      </c>
      <c r="E21" s="36" t="n">
        <f aca="false">C21+D21</f>
        <v>2446400</v>
      </c>
      <c r="F21" s="8"/>
      <c r="G21" s="8"/>
      <c r="H21" s="8"/>
    </row>
    <row r="22" customFormat="false" ht="15.75" hidden="false" customHeight="true" outlineLevel="0" collapsed="false">
      <c r="A22" s="8"/>
      <c r="B22" s="31" t="s">
        <v>145</v>
      </c>
      <c r="C22" s="43" t="n">
        <v>0</v>
      </c>
      <c r="D22" s="43" t="n">
        <v>0</v>
      </c>
      <c r="E22" s="33" t="n">
        <f aca="false">C22+D22</f>
        <v>0</v>
      </c>
      <c r="F22" s="8"/>
      <c r="G22" s="8"/>
      <c r="H22" s="8"/>
    </row>
    <row r="23" customFormat="false" ht="15.75" hidden="false" customHeight="true" outlineLevel="0" collapsed="false">
      <c r="A23" s="8"/>
      <c r="B23" s="34" t="s">
        <v>146</v>
      </c>
      <c r="C23" s="45" t="n">
        <v>0</v>
      </c>
      <c r="D23" s="45" t="n">
        <v>0</v>
      </c>
      <c r="E23" s="36" t="n">
        <f aca="false">C23+D23</f>
        <v>0</v>
      </c>
      <c r="F23" s="8"/>
      <c r="G23" s="8"/>
      <c r="H23" s="8"/>
    </row>
    <row r="24" customFormat="false" ht="19.5" hidden="false" customHeight="true" outlineLevel="0" collapsed="false">
      <c r="A24" s="8"/>
      <c r="B24" s="66" t="s">
        <v>147</v>
      </c>
      <c r="C24" s="49" t="n">
        <v>425750</v>
      </c>
      <c r="D24" s="49" t="n">
        <v>2020650</v>
      </c>
      <c r="E24" s="49" t="n">
        <f aca="false">C24+D24</f>
        <v>2446400</v>
      </c>
      <c r="F24" s="8"/>
      <c r="G24" s="8"/>
      <c r="H24" s="8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.75" hidden="false" customHeight="true" outlineLevel="0" collapsed="false">
      <c r="A26" s="8"/>
      <c r="B26" s="9" t="s">
        <v>148</v>
      </c>
      <c r="C26" s="9"/>
      <c r="D26" s="9"/>
      <c r="E26" s="9"/>
      <c r="F26" s="8"/>
      <c r="G26" s="8"/>
      <c r="H26" s="8"/>
    </row>
    <row r="27" customFormat="false" ht="18" hidden="false" customHeight="true" outlineLevel="0" collapsed="false">
      <c r="A27" s="8"/>
      <c r="B27" s="67" t="s">
        <v>149</v>
      </c>
      <c r="C27" s="68" t="s">
        <v>150</v>
      </c>
      <c r="D27" s="68" t="s">
        <v>151</v>
      </c>
      <c r="E27" s="68" t="s">
        <v>152</v>
      </c>
      <c r="F27" s="8"/>
      <c r="G27" s="8"/>
      <c r="H27" s="8"/>
    </row>
    <row r="28" customFormat="false" ht="15.75" hidden="false" customHeight="true" outlineLevel="0" collapsed="false">
      <c r="A28" s="8"/>
      <c r="B28" s="31" t="s">
        <v>153</v>
      </c>
      <c r="C28" s="32" t="n">
        <v>130000</v>
      </c>
      <c r="D28" s="69" t="s">
        <v>154</v>
      </c>
      <c r="E28" s="33" t="n">
        <f aca="false">IFERROR(C28,0)</f>
        <v>130000</v>
      </c>
      <c r="F28" s="8"/>
      <c r="G28" s="8"/>
      <c r="H28" s="8"/>
    </row>
    <row r="29" customFormat="false" ht="15.75" hidden="false" customHeight="true" outlineLevel="0" collapsed="false">
      <c r="A29" s="8"/>
      <c r="B29" s="34" t="s">
        <v>155</v>
      </c>
      <c r="C29" s="35" t="n">
        <v>70000</v>
      </c>
      <c r="D29" s="62" t="s">
        <v>154</v>
      </c>
      <c r="E29" s="36" t="n">
        <f aca="false">IFERROR(C29,0)</f>
        <v>70000</v>
      </c>
      <c r="F29" s="8"/>
      <c r="G29" s="8"/>
      <c r="H29" s="8"/>
    </row>
    <row r="30" customFormat="false" ht="15.75" hidden="false" customHeight="true" outlineLevel="0" collapsed="false">
      <c r="A30" s="8"/>
      <c r="B30" s="31" t="s">
        <v>156</v>
      </c>
      <c r="C30" s="32" t="n">
        <v>60000</v>
      </c>
      <c r="D30" s="69" t="s">
        <v>154</v>
      </c>
      <c r="E30" s="33" t="n">
        <f aca="false">IFERROR(C30,0)</f>
        <v>60000</v>
      </c>
      <c r="F30" s="8"/>
      <c r="G30" s="8"/>
      <c r="H30" s="8"/>
    </row>
    <row r="31" customFormat="false" ht="15.75" hidden="false" customHeight="true" outlineLevel="0" collapsed="false">
      <c r="A31" s="8"/>
      <c r="B31" s="34" t="s">
        <v>157</v>
      </c>
      <c r="C31" s="35" t="n">
        <v>55000</v>
      </c>
      <c r="D31" s="62" t="s">
        <v>154</v>
      </c>
      <c r="E31" s="36" t="n">
        <f aca="false">IFERROR(C31,0)</f>
        <v>55000</v>
      </c>
      <c r="F31" s="8"/>
      <c r="G31" s="8"/>
      <c r="H31" s="8"/>
    </row>
    <row r="32" customFormat="false" ht="15.75" hidden="false" customHeight="true" outlineLevel="0" collapsed="false">
      <c r="A32" s="8"/>
      <c r="B32" s="31" t="s">
        <v>158</v>
      </c>
      <c r="C32" s="32" t="n">
        <v>50200</v>
      </c>
      <c r="D32" s="69" t="s">
        <v>154</v>
      </c>
      <c r="E32" s="33" t="n">
        <f aca="false">IFERROR(C32,0)</f>
        <v>50200</v>
      </c>
      <c r="F32" s="8"/>
      <c r="G32" s="8"/>
      <c r="H32" s="8"/>
    </row>
    <row r="33" customFormat="false" ht="15.75" hidden="false" customHeight="true" outlineLevel="0" collapsed="false">
      <c r="A33" s="8"/>
      <c r="B33" s="34" t="s">
        <v>159</v>
      </c>
      <c r="C33" s="35" t="n">
        <v>50000</v>
      </c>
      <c r="D33" s="62" t="s">
        <v>154</v>
      </c>
      <c r="E33" s="36" t="n">
        <f aca="false">IFERROR(C33,0)</f>
        <v>50000</v>
      </c>
      <c r="F33" s="8"/>
      <c r="G33" s="8"/>
      <c r="H33" s="8"/>
    </row>
    <row r="34" customFormat="false" ht="15.75" hidden="false" customHeight="true" outlineLevel="0" collapsed="false">
      <c r="A34" s="8"/>
      <c r="B34" s="31" t="s">
        <v>160</v>
      </c>
      <c r="C34" s="32" t="n">
        <v>45000</v>
      </c>
      <c r="D34" s="69" t="s">
        <v>154</v>
      </c>
      <c r="E34" s="33" t="n">
        <f aca="false">IFERROR(C34,0)</f>
        <v>45000</v>
      </c>
      <c r="F34" s="8"/>
      <c r="G34" s="8"/>
      <c r="H34" s="8"/>
    </row>
    <row r="35" customFormat="false" ht="15.75" hidden="false" customHeight="true" outlineLevel="0" collapsed="false">
      <c r="A35" s="8"/>
      <c r="B35" s="34" t="s">
        <v>161</v>
      </c>
      <c r="C35" s="35" t="n">
        <v>22500</v>
      </c>
      <c r="D35" s="62" t="s">
        <v>154</v>
      </c>
      <c r="E35" s="36" t="n">
        <f aca="false">IFERROR(C35,0)</f>
        <v>22500</v>
      </c>
      <c r="F35" s="8"/>
      <c r="G35" s="8"/>
      <c r="H35" s="8"/>
    </row>
    <row r="36" customFormat="false" ht="15.75" hidden="false" customHeight="true" outlineLevel="0" collapsed="false">
      <c r="A36" s="8"/>
      <c r="B36" s="31" t="s">
        <v>162</v>
      </c>
      <c r="C36" s="32" t="n">
        <v>20000</v>
      </c>
      <c r="D36" s="69" t="s">
        <v>154</v>
      </c>
      <c r="E36" s="33" t="n">
        <f aca="false">IFERROR(C36,0)</f>
        <v>20000</v>
      </c>
      <c r="F36" s="8"/>
      <c r="G36" s="8"/>
      <c r="H36" s="8"/>
    </row>
    <row r="37" customFormat="false" ht="15.75" hidden="false" customHeight="true" outlineLevel="0" collapsed="false">
      <c r="A37" s="8"/>
      <c r="B37" s="34" t="s">
        <v>163</v>
      </c>
      <c r="C37" s="35" t="n">
        <v>15000</v>
      </c>
      <c r="D37" s="62" t="s">
        <v>154</v>
      </c>
      <c r="E37" s="36" t="n">
        <f aca="false">IFERROR(C37,0)</f>
        <v>15000</v>
      </c>
      <c r="F37" s="8"/>
      <c r="G37" s="8"/>
      <c r="H37" s="8"/>
    </row>
    <row r="38" customFormat="false" ht="15.75" hidden="false" customHeight="true" outlineLevel="0" collapsed="false">
      <c r="A38" s="8"/>
      <c r="B38" s="31" t="s">
        <v>164</v>
      </c>
      <c r="C38" s="32" t="n">
        <v>15000</v>
      </c>
      <c r="D38" s="69" t="s">
        <v>154</v>
      </c>
      <c r="E38" s="33" t="n">
        <f aca="false">IFERROR(C38,0)</f>
        <v>15000</v>
      </c>
      <c r="F38" s="8"/>
      <c r="G38" s="8"/>
      <c r="H38" s="8"/>
    </row>
    <row r="39" customFormat="false" ht="15.75" hidden="false" customHeight="true" outlineLevel="0" collapsed="false">
      <c r="A39" s="8"/>
      <c r="B39" s="34" t="s">
        <v>165</v>
      </c>
      <c r="C39" s="35" t="n">
        <v>15000</v>
      </c>
      <c r="D39" s="62" t="s">
        <v>154</v>
      </c>
      <c r="E39" s="36" t="n">
        <f aca="false">IFERROR(C39,0)</f>
        <v>15000</v>
      </c>
      <c r="F39" s="8"/>
      <c r="G39" s="8"/>
      <c r="H39" s="8"/>
    </row>
    <row r="40" customFormat="false" ht="15.75" hidden="false" customHeight="true" outlineLevel="0" collapsed="false">
      <c r="A40" s="8"/>
      <c r="B40" s="48" t="s">
        <v>166</v>
      </c>
      <c r="C40" s="49" t="n">
        <f aca="false">SUM(C28:C39)</f>
        <v>547700</v>
      </c>
      <c r="D40" s="50"/>
      <c r="E40" s="49" t="n">
        <f aca="false">SUM(E28:E39)</f>
        <v>547700</v>
      </c>
      <c r="F40" s="8"/>
      <c r="G40" s="8"/>
      <c r="H40" s="8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.75" hidden="false" customHeight="true" outlineLevel="0" collapsed="false">
      <c r="A42" s="8"/>
      <c r="B42" s="17" t="s">
        <v>127</v>
      </c>
      <c r="C42" s="8"/>
      <c r="D42" s="8"/>
      <c r="E42" s="8"/>
      <c r="F42" s="8"/>
      <c r="G42" s="8"/>
      <c r="H42" s="8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</row>
  </sheetData>
  <mergeCells count="6">
    <mergeCell ref="B2:G2"/>
    <mergeCell ref="B3:G3"/>
    <mergeCell ref="B6:E6"/>
    <mergeCell ref="B13:E13"/>
    <mergeCell ref="B19:E19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20"/>
    <col collapsed="false" customWidth="true" hidden="false" outlineLevel="0" max="7" min="7" style="1" width="3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2"/>
      <c r="B2" s="27" t="s">
        <v>167</v>
      </c>
      <c r="C2" s="27"/>
      <c r="D2" s="27"/>
      <c r="E2" s="27"/>
      <c r="F2" s="27"/>
      <c r="G2" s="2"/>
    </row>
    <row r="3" customFormat="false" ht="15.75" hidden="false" customHeight="true" outlineLevel="0" collapsed="false">
      <c r="A3" s="2"/>
      <c r="B3" s="28" t="s">
        <v>168</v>
      </c>
      <c r="C3" s="28"/>
      <c r="D3" s="28"/>
      <c r="E3" s="28"/>
      <c r="F3" s="28"/>
      <c r="G3" s="2"/>
    </row>
    <row r="4" customFormat="false" ht="15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8"/>
      <c r="B5" s="29" t="s">
        <v>70</v>
      </c>
      <c r="C5" s="30" t="s">
        <v>169</v>
      </c>
      <c r="D5" s="30" t="s">
        <v>170</v>
      </c>
      <c r="E5" s="30" t="s">
        <v>137</v>
      </c>
      <c r="F5" s="8"/>
      <c r="G5" s="8"/>
    </row>
    <row r="6" customFormat="false" ht="15.75" hidden="false" customHeight="true" outlineLevel="0" collapsed="false">
      <c r="A6" s="8"/>
      <c r="B6" s="9" t="s">
        <v>171</v>
      </c>
      <c r="C6" s="9"/>
      <c r="D6" s="9"/>
      <c r="E6" s="9"/>
      <c r="F6" s="8"/>
      <c r="G6" s="8"/>
    </row>
    <row r="7" customFormat="false" ht="15.75" hidden="false" customHeight="true" outlineLevel="0" collapsed="false">
      <c r="A7" s="8"/>
      <c r="B7" s="31" t="s">
        <v>172</v>
      </c>
      <c r="C7" s="32" t="n">
        <v>0</v>
      </c>
      <c r="D7" s="32" t="n">
        <v>0</v>
      </c>
      <c r="E7" s="33" t="n">
        <f aca="false">C7+D7</f>
        <v>0</v>
      </c>
      <c r="F7" s="8"/>
      <c r="G7" s="8"/>
    </row>
    <row r="8" customFormat="false" ht="15.75" hidden="false" customHeight="true" outlineLevel="0" collapsed="false">
      <c r="A8" s="8"/>
      <c r="B8" s="34" t="s">
        <v>146</v>
      </c>
      <c r="C8" s="35" t="n">
        <v>0</v>
      </c>
      <c r="D8" s="35" t="n">
        <v>0</v>
      </c>
      <c r="E8" s="36" t="n">
        <f aca="false">C8+D8</f>
        <v>0</v>
      </c>
      <c r="F8" s="8"/>
      <c r="G8" s="8"/>
    </row>
    <row r="9" customFormat="false" ht="15.75" hidden="false" customHeight="true" outlineLevel="0" collapsed="false">
      <c r="A9" s="8"/>
      <c r="B9" s="31" t="s">
        <v>82</v>
      </c>
      <c r="C9" s="32" t="n">
        <v>288</v>
      </c>
      <c r="D9" s="32" t="n">
        <v>1212.39</v>
      </c>
      <c r="E9" s="33" t="n">
        <f aca="false">C9+D9</f>
        <v>1500.39</v>
      </c>
      <c r="F9" s="8"/>
      <c r="G9" s="8"/>
    </row>
    <row r="10" customFormat="false" ht="15.75" hidden="false" customHeight="true" outlineLevel="0" collapsed="false">
      <c r="A10" s="8"/>
      <c r="B10" s="34" t="s">
        <v>173</v>
      </c>
      <c r="C10" s="35" t="n">
        <v>0</v>
      </c>
      <c r="D10" s="35" t="n">
        <v>0</v>
      </c>
      <c r="E10" s="36" t="n">
        <f aca="false">C10+D10</f>
        <v>0</v>
      </c>
      <c r="F10" s="8"/>
      <c r="G10" s="8"/>
    </row>
    <row r="11" customFormat="false" ht="19.5" hidden="false" customHeight="true" outlineLevel="0" collapsed="false">
      <c r="A11" s="8"/>
      <c r="B11" s="48" t="s">
        <v>174</v>
      </c>
      <c r="C11" s="49" t="n">
        <f aca="false">SUM(C8,C9,C10)</f>
        <v>288</v>
      </c>
      <c r="D11" s="49" t="n">
        <f aca="false">SUM(D8,D9,D10)</f>
        <v>1212.39</v>
      </c>
      <c r="E11" s="49" t="n">
        <f aca="false">C11+D11</f>
        <v>1500.39</v>
      </c>
      <c r="F11" s="8"/>
      <c r="G11" s="8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</row>
    <row r="13" customFormat="false" ht="15.75" hidden="false" customHeight="true" outlineLevel="0" collapsed="false">
      <c r="A13" s="8"/>
      <c r="B13" s="9" t="s">
        <v>175</v>
      </c>
      <c r="C13" s="9"/>
      <c r="D13" s="9"/>
      <c r="E13" s="9"/>
      <c r="F13" s="8"/>
      <c r="G13" s="8"/>
    </row>
    <row r="14" customFormat="false" ht="15.75" hidden="false" customHeight="true" outlineLevel="0" collapsed="false">
      <c r="A14" s="8"/>
      <c r="B14" s="31" t="s">
        <v>176</v>
      </c>
      <c r="C14" s="32" t="n">
        <v>0</v>
      </c>
      <c r="D14" s="32" t="n">
        <v>0</v>
      </c>
      <c r="E14" s="33" t="n">
        <f aca="false">C14+D14</f>
        <v>0</v>
      </c>
      <c r="F14" s="8"/>
      <c r="G14" s="8"/>
    </row>
    <row r="15" customFormat="false" ht="15.75" hidden="false" customHeight="true" outlineLevel="0" collapsed="false">
      <c r="A15" s="8"/>
      <c r="B15" s="34" t="s">
        <v>177</v>
      </c>
      <c r="C15" s="35" t="n">
        <v>0</v>
      </c>
      <c r="D15" s="35" t="n">
        <v>0</v>
      </c>
      <c r="E15" s="36" t="n">
        <f aca="false">C15+D15</f>
        <v>0</v>
      </c>
      <c r="F15" s="8"/>
      <c r="G15" s="8"/>
    </row>
    <row r="16" customFormat="false" ht="15.75" hidden="false" customHeight="true" outlineLevel="0" collapsed="false">
      <c r="A16" s="8"/>
      <c r="B16" s="31" t="s">
        <v>178</v>
      </c>
      <c r="C16" s="32" t="n">
        <v>0</v>
      </c>
      <c r="D16" s="32" t="n">
        <v>0</v>
      </c>
      <c r="E16" s="33" t="n">
        <f aca="false">C16+D16</f>
        <v>0</v>
      </c>
      <c r="F16" s="8"/>
      <c r="G16" s="8"/>
    </row>
    <row r="17" customFormat="false" ht="15.75" hidden="false" customHeight="true" outlineLevel="0" collapsed="false">
      <c r="A17" s="8"/>
      <c r="B17" s="34" t="s">
        <v>179</v>
      </c>
      <c r="C17" s="35" t="n">
        <v>0</v>
      </c>
      <c r="D17" s="35" t="n">
        <v>0</v>
      </c>
      <c r="E17" s="36" t="n">
        <f aca="false">C17+D17</f>
        <v>0</v>
      </c>
      <c r="F17" s="8"/>
      <c r="G17" s="8"/>
    </row>
    <row r="18" customFormat="false" ht="15.75" hidden="false" customHeight="true" outlineLevel="0" collapsed="false">
      <c r="A18" s="8"/>
      <c r="B18" s="31" t="s">
        <v>180</v>
      </c>
      <c r="C18" s="32" t="n">
        <v>0</v>
      </c>
      <c r="D18" s="32" t="n">
        <v>0</v>
      </c>
      <c r="E18" s="33" t="n">
        <f aca="false">C18+D18</f>
        <v>0</v>
      </c>
      <c r="F18" s="8"/>
      <c r="G18" s="8"/>
    </row>
    <row r="19" customFormat="false" ht="15.75" hidden="false" customHeight="true" outlineLevel="0" collapsed="false">
      <c r="A19" s="8"/>
      <c r="B19" s="34" t="s">
        <v>181</v>
      </c>
      <c r="C19" s="35" t="n">
        <v>0</v>
      </c>
      <c r="D19" s="35" t="n">
        <v>0</v>
      </c>
      <c r="E19" s="36" t="n">
        <f aca="false">C19+D19</f>
        <v>0</v>
      </c>
      <c r="F19" s="8"/>
      <c r="G19" s="8"/>
    </row>
    <row r="20" customFormat="false" ht="19.5" hidden="false" customHeight="true" outlineLevel="0" collapsed="false">
      <c r="A20" s="8"/>
      <c r="B20" s="48" t="s">
        <v>182</v>
      </c>
      <c r="C20" s="49" t="n">
        <f aca="false">SUM(C14:C19)</f>
        <v>0</v>
      </c>
      <c r="D20" s="49" t="n">
        <f aca="false">SUM(D14:D19)</f>
        <v>0</v>
      </c>
      <c r="E20" s="49" t="n">
        <f aca="false">C20+D20</f>
        <v>0</v>
      </c>
      <c r="F20" s="8"/>
      <c r="G20" s="8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8"/>
    </row>
    <row r="22" customFormat="false" ht="15.75" hidden="false" customHeight="true" outlineLevel="0" collapsed="false">
      <c r="A22" s="8"/>
      <c r="B22" s="9" t="s">
        <v>183</v>
      </c>
      <c r="C22" s="9"/>
      <c r="D22" s="9"/>
      <c r="E22" s="9"/>
      <c r="F22" s="8"/>
      <c r="G22" s="8"/>
    </row>
    <row r="23" customFormat="false" ht="21.75" hidden="false" customHeight="true" outlineLevel="0" collapsed="false">
      <c r="A23" s="8"/>
      <c r="B23" s="70" t="s">
        <v>184</v>
      </c>
      <c r="C23" s="71" t="n">
        <f aca="false">C11-C20</f>
        <v>288</v>
      </c>
      <c r="D23" s="71" t="n">
        <f aca="false">D11-D20</f>
        <v>1212.39</v>
      </c>
      <c r="E23" s="71" t="n">
        <f aca="false">E11-E20</f>
        <v>1500.39</v>
      </c>
      <c r="F23" s="8"/>
      <c r="G23" s="8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</row>
    <row r="25" customFormat="false" ht="15.75" hidden="false" customHeight="true" outlineLevel="0" collapsed="false">
      <c r="A25" s="8"/>
      <c r="B25" s="17" t="s">
        <v>127</v>
      </c>
      <c r="C25" s="8"/>
      <c r="D25" s="8"/>
      <c r="E25" s="8"/>
      <c r="F25" s="8"/>
      <c r="G25" s="8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</row>
    <row r="27" customFormat="false" ht="15.75" hidden="false" customHeight="true" outlineLevel="0" collapsed="false">
      <c r="A27" s="8"/>
      <c r="B27" s="8"/>
      <c r="C27" s="8"/>
      <c r="D27" s="8"/>
      <c r="E27" s="8"/>
      <c r="F27" s="8"/>
      <c r="G27" s="8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</row>
    <row r="29" customFormat="false" ht="15.7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</row>
    <row r="31" customFormat="false" ht="15.75" hidden="false" customHeight="true" outlineLevel="0" collapsed="false">
      <c r="A31" s="8"/>
      <c r="B31" s="8"/>
      <c r="C31" s="8"/>
      <c r="D31" s="8"/>
      <c r="E31" s="8"/>
      <c r="F31" s="8"/>
      <c r="G31" s="8"/>
    </row>
    <row r="32" customFormat="false" ht="15.75" hidden="false" customHeight="true" outlineLevel="0" collapsed="false">
      <c r="A32" s="8"/>
      <c r="B32" s="8"/>
      <c r="C32" s="8"/>
      <c r="D32" s="8"/>
      <c r="E32" s="8"/>
      <c r="F32" s="8"/>
      <c r="G32" s="8"/>
    </row>
    <row r="33" customFormat="false" ht="15.75" hidden="false" customHeight="true" outlineLevel="0" collapsed="false">
      <c r="A33" s="8"/>
      <c r="B33" s="8"/>
      <c r="C33" s="8"/>
      <c r="D33" s="8"/>
      <c r="E33" s="8"/>
      <c r="F33" s="8"/>
      <c r="G33" s="8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</row>
    <row r="35" customFormat="false" ht="15.75" hidden="false" customHeight="true" outlineLevel="0" collapsed="false">
      <c r="A35" s="8"/>
      <c r="B35" s="8"/>
      <c r="C35" s="8"/>
      <c r="D35" s="8"/>
      <c r="E35" s="8"/>
      <c r="F35" s="8"/>
      <c r="G35" s="8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</row>
    <row r="37" customFormat="false" ht="15.75" hidden="false" customHeight="true" outlineLevel="0" collapsed="false">
      <c r="A37" s="8"/>
      <c r="B37" s="8"/>
      <c r="C37" s="8"/>
      <c r="D37" s="8"/>
      <c r="E37" s="8"/>
      <c r="F37" s="8"/>
      <c r="G37" s="8"/>
    </row>
    <row r="38" customFormat="false" ht="15.75" hidden="false" customHeight="true" outlineLevel="0" collapsed="false">
      <c r="A38" s="8"/>
      <c r="B38" s="8"/>
      <c r="C38" s="8"/>
      <c r="D38" s="8"/>
      <c r="E38" s="8"/>
      <c r="F38" s="8"/>
      <c r="G38" s="8"/>
    </row>
    <row r="39" customFormat="false" ht="15.75" hidden="false" customHeight="true" outlineLevel="0" collapsed="false">
      <c r="A39" s="8"/>
      <c r="B39" s="8"/>
      <c r="C39" s="8"/>
      <c r="D39" s="8"/>
      <c r="E39" s="8"/>
      <c r="F39" s="8"/>
      <c r="G39" s="8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</row>
    <row r="41" customFormat="false" ht="15.75" hidden="false" customHeight="true" outlineLevel="0" collapsed="false">
      <c r="A41" s="8"/>
      <c r="B41" s="8"/>
      <c r="C41" s="8"/>
      <c r="D41" s="8"/>
      <c r="E41" s="8"/>
      <c r="F41" s="8"/>
      <c r="G41" s="8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</row>
    <row r="43" customFormat="false" ht="15.75" hidden="false" customHeight="true" outlineLevel="0" collapsed="false">
      <c r="A43" s="8"/>
      <c r="B43" s="8"/>
      <c r="C43" s="8"/>
      <c r="D43" s="8"/>
      <c r="E43" s="8"/>
      <c r="F43" s="8"/>
      <c r="G43" s="8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</row>
    <row r="45" customFormat="false" ht="15.75" hidden="false" customHeight="true" outlineLevel="0" collapsed="false">
      <c r="A45" s="8"/>
      <c r="B45" s="8"/>
      <c r="C45" s="8"/>
      <c r="D45" s="8"/>
      <c r="E45" s="8"/>
      <c r="F45" s="8"/>
      <c r="G45" s="8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</row>
    <row r="47" customFormat="false" ht="15.75" hidden="false" customHeight="true" outlineLevel="0" collapsed="false">
      <c r="A47" s="8"/>
      <c r="B47" s="8"/>
      <c r="C47" s="8"/>
      <c r="D47" s="8"/>
      <c r="E47" s="8"/>
      <c r="F47" s="8"/>
      <c r="G47" s="8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</row>
    <row r="49" customFormat="false" ht="15.75" hidden="false" customHeight="true" outlineLevel="0" collapsed="false">
      <c r="A49" s="8"/>
      <c r="B49" s="8"/>
      <c r="C49" s="8"/>
      <c r="D49" s="8"/>
      <c r="E49" s="8"/>
      <c r="F49" s="8"/>
      <c r="G49" s="8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</row>
    <row r="51" customFormat="false" ht="15.75" hidden="false" customHeight="true" outlineLevel="0" collapsed="false">
      <c r="A51" s="8"/>
      <c r="B51" s="8"/>
      <c r="C51" s="8"/>
      <c r="D51" s="8"/>
      <c r="E51" s="8"/>
      <c r="F51" s="8"/>
      <c r="G51" s="8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</row>
    <row r="53" customFormat="false" ht="15.75" hidden="false" customHeight="true" outlineLevel="0" collapsed="false">
      <c r="A53" s="8"/>
      <c r="B53" s="8"/>
      <c r="C53" s="8"/>
      <c r="D53" s="8"/>
      <c r="E53" s="8"/>
      <c r="F53" s="8"/>
      <c r="G53" s="8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</row>
    <row r="55" customFormat="false" ht="15.75" hidden="false" customHeight="true" outlineLevel="0" collapsed="false">
      <c r="A55" s="8"/>
      <c r="B55" s="8"/>
      <c r="C55" s="8"/>
      <c r="D55" s="8"/>
      <c r="E55" s="8"/>
      <c r="F55" s="8"/>
      <c r="G55" s="8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</row>
    <row r="57" customFormat="false" ht="15.75" hidden="false" customHeight="true" outlineLevel="0" collapsed="false">
      <c r="A57" s="8"/>
      <c r="B57" s="8"/>
      <c r="C57" s="8"/>
      <c r="D57" s="8"/>
      <c r="E57" s="8"/>
      <c r="F57" s="8"/>
      <c r="G57" s="8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</row>
    <row r="59" customFormat="false" ht="15.75" hidden="false" customHeight="true" outlineLevel="0" collapsed="false">
      <c r="A59" s="8"/>
      <c r="B59" s="8"/>
      <c r="C59" s="8"/>
      <c r="D59" s="8"/>
      <c r="E59" s="8"/>
      <c r="F59" s="8"/>
      <c r="G59" s="8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</row>
    <row r="61" customFormat="false" ht="15.75" hidden="false" customHeight="true" outlineLevel="0" collapsed="false">
      <c r="A61" s="8"/>
      <c r="B61" s="8"/>
      <c r="C61" s="8"/>
      <c r="D61" s="8"/>
      <c r="E61" s="8"/>
      <c r="F61" s="8"/>
      <c r="G61" s="8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</row>
    <row r="63" customFormat="false" ht="15.75" hidden="false" customHeight="true" outlineLevel="0" collapsed="false">
      <c r="A63" s="8"/>
      <c r="B63" s="8"/>
      <c r="C63" s="8"/>
      <c r="D63" s="8"/>
      <c r="E63" s="8"/>
      <c r="F63" s="8"/>
      <c r="G63" s="8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</row>
    <row r="65" customFormat="false" ht="15.75" hidden="false" customHeight="true" outlineLevel="0" collapsed="false">
      <c r="A65" s="8"/>
      <c r="B65" s="8"/>
      <c r="C65" s="8"/>
      <c r="D65" s="8"/>
      <c r="E65" s="8"/>
      <c r="F65" s="8"/>
      <c r="G65" s="8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</row>
    <row r="67" customFormat="false" ht="15.75" hidden="false" customHeight="true" outlineLevel="0" collapsed="false">
      <c r="A67" s="8"/>
      <c r="B67" s="8"/>
      <c r="C67" s="8"/>
      <c r="D67" s="8"/>
      <c r="E67" s="8"/>
      <c r="F67" s="8"/>
      <c r="G67" s="8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</row>
    <row r="69" customFormat="false" ht="15.75" hidden="false" customHeight="true" outlineLevel="0" collapsed="false">
      <c r="A69" s="8"/>
      <c r="B69" s="8"/>
      <c r="C69" s="8"/>
      <c r="D69" s="8"/>
      <c r="E69" s="8"/>
      <c r="F69" s="8"/>
      <c r="G69" s="8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</row>
    <row r="71" customFormat="false" ht="15.75" hidden="false" customHeight="true" outlineLevel="0" collapsed="false">
      <c r="A71" s="8"/>
      <c r="B71" s="8"/>
      <c r="C71" s="8"/>
      <c r="D71" s="8"/>
      <c r="E71" s="8"/>
      <c r="F71" s="8"/>
      <c r="G71" s="8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</row>
    <row r="73" customFormat="false" ht="15.75" hidden="false" customHeight="true" outlineLevel="0" collapsed="false">
      <c r="A73" s="8"/>
      <c r="B73" s="8"/>
      <c r="C73" s="8"/>
      <c r="D73" s="8"/>
      <c r="E73" s="8"/>
      <c r="F73" s="8"/>
      <c r="G73" s="8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</row>
    <row r="75" customFormat="false" ht="15.75" hidden="false" customHeight="true" outlineLevel="0" collapsed="false">
      <c r="A75" s="8"/>
      <c r="B75" s="8"/>
      <c r="C75" s="8"/>
      <c r="D75" s="8"/>
      <c r="E75" s="8"/>
      <c r="F75" s="8"/>
      <c r="G75" s="8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</row>
    <row r="77" customFormat="false" ht="15.75" hidden="false" customHeight="true" outlineLevel="0" collapsed="false">
      <c r="A77" s="8"/>
      <c r="B77" s="8"/>
      <c r="C77" s="8"/>
      <c r="D77" s="8"/>
      <c r="E77" s="8"/>
      <c r="F77" s="8"/>
      <c r="G77" s="8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</row>
    <row r="79" customFormat="false" ht="15.75" hidden="false" customHeight="true" outlineLevel="0" collapsed="false">
      <c r="A79" s="8"/>
      <c r="B79" s="8"/>
      <c r="C79" s="8"/>
      <c r="D79" s="8"/>
      <c r="E79" s="8"/>
      <c r="F79" s="8"/>
      <c r="G79" s="8"/>
    </row>
  </sheetData>
  <mergeCells count="5">
    <mergeCell ref="B2:F2"/>
    <mergeCell ref="B3:F3"/>
    <mergeCell ref="B6:E6"/>
    <mergeCell ref="B13:E13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2026-04-25T06:06:27Z</dcterms:created>
  <dc:creator>openpyxl</dc:creator>
  <dc:description/>
  <dc:language>en-US</dc:language>
  <cp:lastModifiedBy/>
  <dcterms:modified xsi:type="dcterms:W3CDTF">2026-04-25T06:09:56Z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